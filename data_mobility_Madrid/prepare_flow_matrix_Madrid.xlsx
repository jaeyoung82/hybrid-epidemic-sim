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Dev\CodeDev_ped-event-sim\hybrid-epidemic-sim-20260604a\mobility_Madrid\"/>
    </mc:Choice>
  </mc:AlternateContent>
  <xr:revisionPtr revIDLastSave="0" documentId="13_ncr:1_{4605DBF9-5A45-4DDC-8143-A2EF196063BB}" xr6:coauthVersionLast="47" xr6:coauthVersionMax="47" xr10:uidLastSave="{00000000-0000-0000-0000-000000000000}"/>
  <bookViews>
    <workbookView xWindow="-120" yWindow="-120" windowWidth="29040" windowHeight="15720" activeTab="1" xr2:uid="{6E1491B7-8951-4D12-844E-E20F0662FBD4}"/>
  </bookViews>
  <sheets>
    <sheet name="prepare-flow_matrix_Madrid" sheetId="1" r:id="rId1"/>
    <sheet name="flow_matrix_symmetric_Madri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4" i="2" l="1"/>
  <c r="L114" i="2"/>
  <c r="J114" i="2"/>
  <c r="F114" i="2"/>
  <c r="D114" i="2"/>
  <c r="B114" i="2"/>
  <c r="U113" i="2"/>
  <c r="T113" i="2"/>
  <c r="S113" i="2"/>
  <c r="R113" i="2"/>
  <c r="Q113" i="2"/>
  <c r="P113" i="2"/>
  <c r="O113" i="2"/>
  <c r="M113" i="2"/>
  <c r="L113" i="2"/>
  <c r="K113" i="2"/>
  <c r="J113" i="2"/>
  <c r="I113" i="2"/>
  <c r="H113" i="2"/>
  <c r="G113" i="2"/>
  <c r="E113" i="2"/>
  <c r="D113" i="2"/>
  <c r="C113" i="2"/>
  <c r="B113" i="2"/>
  <c r="V112" i="2"/>
  <c r="U112" i="2"/>
  <c r="R112" i="2"/>
  <c r="Q112" i="2"/>
  <c r="P112" i="2"/>
  <c r="O112" i="2"/>
  <c r="N112" i="2"/>
  <c r="M112" i="2"/>
  <c r="J112" i="2"/>
  <c r="I112" i="2"/>
  <c r="H112" i="2"/>
  <c r="G112" i="2"/>
  <c r="F112" i="2"/>
  <c r="E112" i="2"/>
  <c r="B112" i="2"/>
  <c r="V111" i="2"/>
  <c r="T111" i="2"/>
  <c r="N111" i="2"/>
  <c r="L111" i="2"/>
  <c r="F111" i="2"/>
  <c r="D111" i="2"/>
  <c r="V110" i="2"/>
  <c r="T110" i="2"/>
  <c r="R110" i="2"/>
  <c r="N110" i="2"/>
  <c r="L110" i="2"/>
  <c r="J110" i="2"/>
  <c r="F110" i="2"/>
  <c r="D110" i="2"/>
  <c r="B110" i="2"/>
  <c r="V108" i="2"/>
  <c r="R108" i="2"/>
  <c r="P108" i="2"/>
  <c r="N108" i="2"/>
  <c r="J108" i="2"/>
  <c r="H108" i="2"/>
  <c r="F108" i="2"/>
  <c r="B108" i="2"/>
  <c r="V106" i="2"/>
  <c r="T106" i="2"/>
  <c r="R106" i="2"/>
  <c r="N106" i="2"/>
  <c r="L106" i="2"/>
  <c r="J106" i="2"/>
  <c r="F106" i="2"/>
  <c r="D106" i="2"/>
  <c r="B106" i="2"/>
  <c r="U105" i="2"/>
  <c r="T105" i="2"/>
  <c r="S105" i="2"/>
  <c r="R105" i="2"/>
  <c r="Q105" i="2"/>
  <c r="P105" i="2"/>
  <c r="O105" i="2"/>
  <c r="M105" i="2"/>
  <c r="L105" i="2"/>
  <c r="K105" i="2"/>
  <c r="J105" i="2"/>
  <c r="I105" i="2"/>
  <c r="H105" i="2"/>
  <c r="G105" i="2"/>
  <c r="E105" i="2"/>
  <c r="D105" i="2"/>
  <c r="C105" i="2"/>
  <c r="B105" i="2"/>
  <c r="V104" i="2"/>
  <c r="U104" i="2"/>
  <c r="R104" i="2"/>
  <c r="Q104" i="2"/>
  <c r="P104" i="2"/>
  <c r="O104" i="2"/>
  <c r="N104" i="2"/>
  <c r="M104" i="2"/>
  <c r="J104" i="2"/>
  <c r="I104" i="2"/>
  <c r="H104" i="2"/>
  <c r="G104" i="2"/>
  <c r="F104" i="2"/>
  <c r="E104" i="2"/>
  <c r="B104" i="2"/>
  <c r="V103" i="2"/>
  <c r="T103" i="2"/>
  <c r="N103" i="2"/>
  <c r="L103" i="2"/>
  <c r="F103" i="2"/>
  <c r="D103" i="2"/>
  <c r="V102" i="2"/>
  <c r="T102" i="2"/>
  <c r="R102" i="2"/>
  <c r="N102" i="2"/>
  <c r="L102" i="2"/>
  <c r="J102" i="2"/>
  <c r="F102" i="2"/>
  <c r="D102" i="2"/>
  <c r="B102" i="2"/>
  <c r="V100" i="2"/>
  <c r="R100" i="2"/>
  <c r="P100" i="2"/>
  <c r="N100" i="2"/>
  <c r="J100" i="2"/>
  <c r="H100" i="2"/>
  <c r="F100" i="2"/>
  <c r="B100" i="2"/>
  <c r="V98" i="2"/>
  <c r="T98" i="2"/>
  <c r="R98" i="2"/>
  <c r="N98" i="2"/>
  <c r="L98" i="2"/>
  <c r="J98" i="2"/>
  <c r="F98" i="2"/>
  <c r="D98" i="2"/>
  <c r="B98" i="2"/>
  <c r="U97" i="2"/>
  <c r="T97" i="2"/>
  <c r="S97" i="2"/>
  <c r="R97" i="2"/>
  <c r="Q97" i="2"/>
  <c r="P97" i="2"/>
  <c r="O97" i="2"/>
  <c r="M97" i="2"/>
  <c r="L97" i="2"/>
  <c r="K97" i="2"/>
  <c r="J97" i="2"/>
  <c r="I97" i="2"/>
  <c r="H97" i="2"/>
  <c r="G97" i="2"/>
  <c r="E97" i="2"/>
  <c r="D97" i="2"/>
  <c r="C97" i="2"/>
  <c r="B97" i="2"/>
  <c r="V96" i="2"/>
  <c r="U96" i="2"/>
  <c r="R96" i="2"/>
  <c r="Q96" i="2"/>
  <c r="P96" i="2"/>
  <c r="O96" i="2"/>
  <c r="N96" i="2"/>
  <c r="M96" i="2"/>
  <c r="J96" i="2"/>
  <c r="I96" i="2"/>
  <c r="H96" i="2"/>
  <c r="G96" i="2"/>
  <c r="F96" i="2"/>
  <c r="E96" i="2"/>
  <c r="B96" i="2"/>
  <c r="V95" i="2"/>
  <c r="T95" i="2"/>
  <c r="N95" i="2"/>
  <c r="L95" i="2"/>
  <c r="F95" i="2"/>
  <c r="D95" i="2"/>
  <c r="V94" i="2"/>
  <c r="T94" i="2"/>
  <c r="R94" i="2"/>
  <c r="Q94" i="2"/>
  <c r="N94" i="2"/>
  <c r="L94" i="2"/>
  <c r="J94" i="2"/>
  <c r="I94" i="2"/>
  <c r="F94" i="2"/>
  <c r="D94" i="2"/>
  <c r="B94" i="2"/>
  <c r="W91" i="2"/>
  <c r="O114" i="2" s="1"/>
  <c r="W90" i="2"/>
  <c r="V113" i="2" s="1"/>
  <c r="W89" i="2"/>
  <c r="S112" i="2" s="1"/>
  <c r="W88" i="2"/>
  <c r="Q111" i="2" s="1"/>
  <c r="W87" i="2"/>
  <c r="U110" i="2" s="1"/>
  <c r="W86" i="2"/>
  <c r="T109" i="2" s="1"/>
  <c r="W85" i="2"/>
  <c r="Q108" i="2" s="1"/>
  <c r="W84" i="2"/>
  <c r="P107" i="2" s="1"/>
  <c r="W83" i="2"/>
  <c r="O106" i="2" s="1"/>
  <c r="W82" i="2"/>
  <c r="V105" i="2" s="1"/>
  <c r="W81" i="2"/>
  <c r="S104" i="2" s="1"/>
  <c r="W80" i="2"/>
  <c r="Q103" i="2" s="1"/>
  <c r="W79" i="2"/>
  <c r="U102" i="2" s="1"/>
  <c r="W78" i="2"/>
  <c r="E101" i="2" s="1"/>
  <c r="W77" i="2"/>
  <c r="C100" i="2" s="1"/>
  <c r="W76" i="2"/>
  <c r="I99" i="2" s="1"/>
  <c r="W75" i="2"/>
  <c r="O98" i="2" s="1"/>
  <c r="W74" i="2"/>
  <c r="V97" i="2" s="1"/>
  <c r="W73" i="2"/>
  <c r="S96" i="2" s="1"/>
  <c r="W72" i="2"/>
  <c r="I95" i="2" s="1"/>
  <c r="W71" i="2"/>
  <c r="U94" i="2" s="1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B65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B64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B63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62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B61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25" i="1"/>
  <c r="AA73" i="1"/>
  <c r="AB73" i="1"/>
  <c r="AA74" i="1"/>
  <c r="AB74" i="1" s="1"/>
  <c r="AA75" i="1"/>
  <c r="AB75" i="1"/>
  <c r="AA76" i="1"/>
  <c r="AB76" i="1"/>
  <c r="AA77" i="1"/>
  <c r="AB77" i="1"/>
  <c r="AA78" i="1"/>
  <c r="AB78" i="1" s="1"/>
  <c r="AA79" i="1"/>
  <c r="AB79" i="1" s="1"/>
  <c r="AA80" i="1"/>
  <c r="AB80" i="1"/>
  <c r="AA81" i="1"/>
  <c r="AB81" i="1" s="1"/>
  <c r="AA82" i="1"/>
  <c r="AB82" i="1" s="1"/>
  <c r="AA83" i="1"/>
  <c r="AB83" i="1"/>
  <c r="AA84" i="1"/>
  <c r="AB84" i="1" s="1"/>
  <c r="AA85" i="1"/>
  <c r="AB85" i="1"/>
  <c r="AA86" i="1"/>
  <c r="AB86" i="1" s="1"/>
  <c r="AA87" i="1"/>
  <c r="AB87" i="1"/>
  <c r="AA88" i="1"/>
  <c r="AB88" i="1"/>
  <c r="AA89" i="1"/>
  <c r="AB89" i="1"/>
  <c r="AA90" i="1"/>
  <c r="AB90" i="1" s="1"/>
  <c r="AA91" i="1"/>
  <c r="AB91" i="1"/>
  <c r="AA92" i="1"/>
  <c r="AB92" i="1" s="1"/>
  <c r="AB72" i="1"/>
  <c r="AA72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G49" i="1"/>
  <c r="H49" i="1"/>
  <c r="I49" i="1"/>
  <c r="AA49" i="1" s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F49" i="1"/>
  <c r="E3" i="1"/>
  <c r="E4" i="1"/>
  <c r="E5" i="1"/>
  <c r="E6" i="1"/>
  <c r="E7" i="1"/>
  <c r="E8" i="1"/>
  <c r="T31" i="1" s="1"/>
  <c r="E9" i="1"/>
  <c r="L32" i="1" s="1"/>
  <c r="E10" i="1"/>
  <c r="F33" i="1" s="1"/>
  <c r="E11" i="1"/>
  <c r="E12" i="1"/>
  <c r="O35" i="1" s="1"/>
  <c r="E13" i="1"/>
  <c r="E14" i="1"/>
  <c r="N37" i="1" s="1"/>
  <c r="E15" i="1"/>
  <c r="E16" i="1"/>
  <c r="Y39" i="1" s="1"/>
  <c r="E17" i="1"/>
  <c r="U40" i="1" s="1"/>
  <c r="E18" i="1"/>
  <c r="Q41" i="1" s="1"/>
  <c r="E19" i="1"/>
  <c r="Q42" i="1" s="1"/>
  <c r="E20" i="1"/>
  <c r="Y43" i="1" s="1"/>
  <c r="E21" i="1"/>
  <c r="E22" i="1"/>
  <c r="L45" i="1" s="1"/>
  <c r="E2" i="1"/>
  <c r="G94" i="2" l="1"/>
  <c r="O94" i="2"/>
  <c r="Q95" i="2"/>
  <c r="Q99" i="2"/>
  <c r="K100" i="2"/>
  <c r="S100" i="2"/>
  <c r="M101" i="2"/>
  <c r="U101" i="2"/>
  <c r="G102" i="2"/>
  <c r="O102" i="2"/>
  <c r="I103" i="2"/>
  <c r="K104" i="2"/>
  <c r="I107" i="2"/>
  <c r="Q107" i="2"/>
  <c r="C108" i="2"/>
  <c r="K108" i="2"/>
  <c r="S108" i="2"/>
  <c r="E109" i="2"/>
  <c r="M109" i="2"/>
  <c r="U109" i="2"/>
  <c r="G110" i="2"/>
  <c r="O110" i="2"/>
  <c r="G114" i="2"/>
  <c r="H94" i="2"/>
  <c r="P94" i="2"/>
  <c r="B95" i="2"/>
  <c r="W95" i="2" s="1"/>
  <c r="J95" i="2"/>
  <c r="R95" i="2"/>
  <c r="D96" i="2"/>
  <c r="L96" i="2"/>
  <c r="T96" i="2"/>
  <c r="F97" i="2"/>
  <c r="N97" i="2"/>
  <c r="W97" i="2" s="1"/>
  <c r="H98" i="2"/>
  <c r="P98" i="2"/>
  <c r="B99" i="2"/>
  <c r="J99" i="2"/>
  <c r="R99" i="2"/>
  <c r="D100" i="2"/>
  <c r="W100" i="2" s="1"/>
  <c r="L100" i="2"/>
  <c r="T100" i="2"/>
  <c r="F101" i="2"/>
  <c r="N101" i="2"/>
  <c r="V101" i="2"/>
  <c r="H102" i="2"/>
  <c r="P102" i="2"/>
  <c r="B103" i="2"/>
  <c r="J103" i="2"/>
  <c r="R103" i="2"/>
  <c r="D104" i="2"/>
  <c r="L104" i="2"/>
  <c r="T104" i="2"/>
  <c r="F105" i="2"/>
  <c r="W105" i="2" s="1"/>
  <c r="N105" i="2"/>
  <c r="H106" i="2"/>
  <c r="P106" i="2"/>
  <c r="B107" i="2"/>
  <c r="J107" i="2"/>
  <c r="R107" i="2"/>
  <c r="D108" i="2"/>
  <c r="L108" i="2"/>
  <c r="T108" i="2"/>
  <c r="F109" i="2"/>
  <c r="N109" i="2"/>
  <c r="V109" i="2"/>
  <c r="H110" i="2"/>
  <c r="W110" i="2" s="1"/>
  <c r="P110" i="2"/>
  <c r="B111" i="2"/>
  <c r="J111" i="2"/>
  <c r="R111" i="2"/>
  <c r="D112" i="2"/>
  <c r="L112" i="2"/>
  <c r="T112" i="2"/>
  <c r="F113" i="2"/>
  <c r="W113" i="2" s="1"/>
  <c r="N113" i="2"/>
  <c r="H114" i="2"/>
  <c r="P114" i="2"/>
  <c r="C95" i="2"/>
  <c r="K95" i="2"/>
  <c r="S95" i="2"/>
  <c r="I98" i="2"/>
  <c r="Q98" i="2"/>
  <c r="C99" i="2"/>
  <c r="K99" i="2"/>
  <c r="S99" i="2"/>
  <c r="E100" i="2"/>
  <c r="M100" i="2"/>
  <c r="U100" i="2"/>
  <c r="G101" i="2"/>
  <c r="O101" i="2"/>
  <c r="I102" i="2"/>
  <c r="Q102" i="2"/>
  <c r="C103" i="2"/>
  <c r="K103" i="2"/>
  <c r="S103" i="2"/>
  <c r="I106" i="2"/>
  <c r="Q106" i="2"/>
  <c r="C107" i="2"/>
  <c r="K107" i="2"/>
  <c r="S107" i="2"/>
  <c r="E108" i="2"/>
  <c r="M108" i="2"/>
  <c r="U108" i="2"/>
  <c r="G109" i="2"/>
  <c r="O109" i="2"/>
  <c r="I110" i="2"/>
  <c r="Q110" i="2"/>
  <c r="C111" i="2"/>
  <c r="K111" i="2"/>
  <c r="S111" i="2"/>
  <c r="I114" i="2"/>
  <c r="Q114" i="2"/>
  <c r="R114" i="2"/>
  <c r="D99" i="2"/>
  <c r="L99" i="2"/>
  <c r="T99" i="2"/>
  <c r="H101" i="2"/>
  <c r="P101" i="2"/>
  <c r="D107" i="2"/>
  <c r="L107" i="2"/>
  <c r="T107" i="2"/>
  <c r="H109" i="2"/>
  <c r="P109" i="2"/>
  <c r="C94" i="2"/>
  <c r="W94" i="2" s="1"/>
  <c r="K94" i="2"/>
  <c r="S94" i="2"/>
  <c r="E95" i="2"/>
  <c r="M95" i="2"/>
  <c r="U95" i="2"/>
  <c r="C98" i="2"/>
  <c r="W98" i="2" s="1"/>
  <c r="K98" i="2"/>
  <c r="S98" i="2"/>
  <c r="E99" i="2"/>
  <c r="M99" i="2"/>
  <c r="U99" i="2"/>
  <c r="G100" i="2"/>
  <c r="O100" i="2"/>
  <c r="I101" i="2"/>
  <c r="Q101" i="2"/>
  <c r="C102" i="2"/>
  <c r="W102" i="2" s="1"/>
  <c r="K102" i="2"/>
  <c r="S102" i="2"/>
  <c r="E103" i="2"/>
  <c r="M103" i="2"/>
  <c r="U103" i="2"/>
  <c r="C106" i="2"/>
  <c r="W106" i="2" s="1"/>
  <c r="K106" i="2"/>
  <c r="S106" i="2"/>
  <c r="E107" i="2"/>
  <c r="M107" i="2"/>
  <c r="U107" i="2"/>
  <c r="G108" i="2"/>
  <c r="O108" i="2"/>
  <c r="I109" i="2"/>
  <c r="Q109" i="2"/>
  <c r="C110" i="2"/>
  <c r="K110" i="2"/>
  <c r="S110" i="2"/>
  <c r="E111" i="2"/>
  <c r="M111" i="2"/>
  <c r="U111" i="2"/>
  <c r="C114" i="2"/>
  <c r="W114" i="2" s="1"/>
  <c r="K114" i="2"/>
  <c r="S114" i="2"/>
  <c r="T114" i="2"/>
  <c r="F99" i="2"/>
  <c r="N99" i="2"/>
  <c r="V99" i="2"/>
  <c r="B101" i="2"/>
  <c r="J101" i="2"/>
  <c r="R101" i="2"/>
  <c r="F107" i="2"/>
  <c r="N107" i="2"/>
  <c r="V107" i="2"/>
  <c r="B109" i="2"/>
  <c r="J109" i="2"/>
  <c r="R109" i="2"/>
  <c r="E94" i="2"/>
  <c r="M94" i="2"/>
  <c r="G95" i="2"/>
  <c r="O95" i="2"/>
  <c r="E98" i="2"/>
  <c r="M98" i="2"/>
  <c r="U98" i="2"/>
  <c r="G99" i="2"/>
  <c r="O99" i="2"/>
  <c r="I100" i="2"/>
  <c r="Q100" i="2"/>
  <c r="C101" i="2"/>
  <c r="K101" i="2"/>
  <c r="S101" i="2"/>
  <c r="E102" i="2"/>
  <c r="M102" i="2"/>
  <c r="G103" i="2"/>
  <c r="O103" i="2"/>
  <c r="E106" i="2"/>
  <c r="M106" i="2"/>
  <c r="U106" i="2"/>
  <c r="G107" i="2"/>
  <c r="O107" i="2"/>
  <c r="I108" i="2"/>
  <c r="W108" i="2" s="1"/>
  <c r="C109" i="2"/>
  <c r="K109" i="2"/>
  <c r="S109" i="2"/>
  <c r="E110" i="2"/>
  <c r="M110" i="2"/>
  <c r="G111" i="2"/>
  <c r="O111" i="2"/>
  <c r="E114" i="2"/>
  <c r="M114" i="2"/>
  <c r="U114" i="2"/>
  <c r="V114" i="2"/>
  <c r="H95" i="2"/>
  <c r="P95" i="2"/>
  <c r="H99" i="2"/>
  <c r="P99" i="2"/>
  <c r="D101" i="2"/>
  <c r="L101" i="2"/>
  <c r="T101" i="2"/>
  <c r="H103" i="2"/>
  <c r="P103" i="2"/>
  <c r="H107" i="2"/>
  <c r="D109" i="2"/>
  <c r="L109" i="2"/>
  <c r="H111" i="2"/>
  <c r="P111" i="2"/>
  <c r="C96" i="2"/>
  <c r="K96" i="2"/>
  <c r="W96" i="2" s="1"/>
  <c r="G98" i="2"/>
  <c r="C104" i="2"/>
  <c r="W104" i="2" s="1"/>
  <c r="G106" i="2"/>
  <c r="I111" i="2"/>
  <c r="C112" i="2"/>
  <c r="W112" i="2" s="1"/>
  <c r="K112" i="2"/>
  <c r="L40" i="1"/>
  <c r="P39" i="1"/>
  <c r="M39" i="1"/>
  <c r="R42" i="1"/>
  <c r="P33" i="1"/>
  <c r="M40" i="1"/>
  <c r="X32" i="1"/>
  <c r="I44" i="1"/>
  <c r="T44" i="1"/>
  <c r="J44" i="1"/>
  <c r="V44" i="1"/>
  <c r="K44" i="1"/>
  <c r="W44" i="1"/>
  <c r="L44" i="1"/>
  <c r="X44" i="1"/>
  <c r="N44" i="1"/>
  <c r="H36" i="1"/>
  <c r="X36" i="1"/>
  <c r="K36" i="1"/>
  <c r="Y36" i="1"/>
  <c r="L36" i="1"/>
  <c r="Z36" i="1"/>
  <c r="O36" i="1"/>
  <c r="P36" i="1"/>
  <c r="Y28" i="1"/>
  <c r="G28" i="1"/>
  <c r="H28" i="1"/>
  <c r="L28" i="1"/>
  <c r="Q28" i="1"/>
  <c r="G43" i="1"/>
  <c r="Q43" i="1"/>
  <c r="H43" i="1"/>
  <c r="T43" i="1"/>
  <c r="K43" i="1"/>
  <c r="U43" i="1"/>
  <c r="L43" i="1"/>
  <c r="V43" i="1"/>
  <c r="M43" i="1"/>
  <c r="W43" i="1"/>
  <c r="P35" i="1"/>
  <c r="F35" i="1"/>
  <c r="Q35" i="1"/>
  <c r="G35" i="1"/>
  <c r="U35" i="1"/>
  <c r="I35" i="1"/>
  <c r="V35" i="1"/>
  <c r="L35" i="1"/>
  <c r="W35" i="1"/>
  <c r="M35" i="1"/>
  <c r="X35" i="1"/>
  <c r="X27" i="1"/>
  <c r="H27" i="1"/>
  <c r="Y27" i="1"/>
  <c r="L27" i="1"/>
  <c r="M27" i="1"/>
  <c r="N27" i="1"/>
  <c r="P27" i="1"/>
  <c r="X43" i="1"/>
  <c r="N35" i="1"/>
  <c r="G42" i="1"/>
  <c r="J42" i="1"/>
  <c r="S42" i="1"/>
  <c r="K42" i="1"/>
  <c r="T42" i="1"/>
  <c r="L42" i="1"/>
  <c r="U42" i="1"/>
  <c r="M42" i="1"/>
  <c r="V42" i="1"/>
  <c r="N42" i="1"/>
  <c r="X42" i="1"/>
  <c r="G34" i="1"/>
  <c r="H34" i="1"/>
  <c r="Q34" i="1"/>
  <c r="Z34" i="1"/>
  <c r="I34" i="1"/>
  <c r="R34" i="1"/>
  <c r="J34" i="1"/>
  <c r="S34" i="1"/>
  <c r="K34" i="1"/>
  <c r="T34" i="1"/>
  <c r="L34" i="1"/>
  <c r="U34" i="1"/>
  <c r="M34" i="1"/>
  <c r="V34" i="1"/>
  <c r="F26" i="1"/>
  <c r="N26" i="1"/>
  <c r="P26" i="1"/>
  <c r="Z26" i="1"/>
  <c r="S26" i="1"/>
  <c r="U26" i="1"/>
  <c r="Q26" i="1"/>
  <c r="R26" i="1"/>
  <c r="V26" i="1"/>
  <c r="P43" i="1"/>
  <c r="P42" i="1"/>
  <c r="Y34" i="1"/>
  <c r="T28" i="1"/>
  <c r="O43" i="1"/>
  <c r="I42" i="1"/>
  <c r="W36" i="1"/>
  <c r="X34" i="1"/>
  <c r="S28" i="1"/>
  <c r="S44" i="1"/>
  <c r="N43" i="1"/>
  <c r="H42" i="1"/>
  <c r="R36" i="1"/>
  <c r="P34" i="1"/>
  <c r="U27" i="1"/>
  <c r="R44" i="1"/>
  <c r="F43" i="1"/>
  <c r="F42" i="1"/>
  <c r="Q36" i="1"/>
  <c r="N34" i="1"/>
  <c r="T27" i="1"/>
  <c r="O44" i="1"/>
  <c r="Z42" i="1"/>
  <c r="G36" i="1"/>
  <c r="F34" i="1"/>
  <c r="Y26" i="1"/>
  <c r="F44" i="1"/>
  <c r="Y42" i="1"/>
  <c r="Y35" i="1"/>
  <c r="X26" i="1"/>
  <c r="S41" i="1"/>
  <c r="I41" i="1"/>
  <c r="M32" i="1"/>
  <c r="H41" i="1"/>
  <c r="V40" i="1"/>
  <c r="H31" i="1"/>
  <c r="L25" i="1"/>
  <c r="T25" i="1"/>
  <c r="H25" i="1"/>
  <c r="I25" i="1"/>
  <c r="K25" i="1"/>
  <c r="U25" i="1"/>
  <c r="M25" i="1"/>
  <c r="V25" i="1"/>
  <c r="K38" i="1"/>
  <c r="S38" i="1"/>
  <c r="L38" i="1"/>
  <c r="T38" i="1"/>
  <c r="F38" i="1"/>
  <c r="P38" i="1"/>
  <c r="Z38" i="1"/>
  <c r="G38" i="1"/>
  <c r="Q38" i="1"/>
  <c r="H38" i="1"/>
  <c r="R38" i="1"/>
  <c r="I38" i="1"/>
  <c r="U38" i="1"/>
  <c r="J38" i="1"/>
  <c r="V38" i="1"/>
  <c r="M38" i="1"/>
  <c r="W38" i="1"/>
  <c r="K30" i="1"/>
  <c r="S30" i="1"/>
  <c r="L30" i="1"/>
  <c r="T30" i="1"/>
  <c r="H30" i="1"/>
  <c r="P30" i="1"/>
  <c r="X30" i="1"/>
  <c r="F30" i="1"/>
  <c r="R30" i="1"/>
  <c r="G30" i="1"/>
  <c r="U30" i="1"/>
  <c r="I30" i="1"/>
  <c r="V30" i="1"/>
  <c r="J30" i="1"/>
  <c r="W30" i="1"/>
  <c r="M30" i="1"/>
  <c r="Y30" i="1"/>
  <c r="N30" i="1"/>
  <c r="Z30" i="1"/>
  <c r="X25" i="1"/>
  <c r="J25" i="1"/>
  <c r="H45" i="1"/>
  <c r="P45" i="1"/>
  <c r="X45" i="1"/>
  <c r="J45" i="1"/>
  <c r="S45" i="1"/>
  <c r="K45" i="1"/>
  <c r="T45" i="1"/>
  <c r="M45" i="1"/>
  <c r="V45" i="1"/>
  <c r="N45" i="1"/>
  <c r="W45" i="1"/>
  <c r="H37" i="1"/>
  <c r="P37" i="1"/>
  <c r="X37" i="1"/>
  <c r="I37" i="1"/>
  <c r="Q37" i="1"/>
  <c r="Y37" i="1"/>
  <c r="O37" i="1"/>
  <c r="F37" i="1"/>
  <c r="R37" i="1"/>
  <c r="G37" i="1"/>
  <c r="S37" i="1"/>
  <c r="J37" i="1"/>
  <c r="T37" i="1"/>
  <c r="K37" i="1"/>
  <c r="U37" i="1"/>
  <c r="L37" i="1"/>
  <c r="V37" i="1"/>
  <c r="H29" i="1"/>
  <c r="P29" i="1"/>
  <c r="X29" i="1"/>
  <c r="I29" i="1"/>
  <c r="Q29" i="1"/>
  <c r="Y29" i="1"/>
  <c r="M29" i="1"/>
  <c r="U29" i="1"/>
  <c r="N29" i="1"/>
  <c r="O29" i="1"/>
  <c r="R29" i="1"/>
  <c r="F29" i="1"/>
  <c r="S29" i="1"/>
  <c r="G29" i="1"/>
  <c r="T29" i="1"/>
  <c r="J29" i="1"/>
  <c r="V29" i="1"/>
  <c r="W25" i="1"/>
  <c r="G25" i="1"/>
  <c r="I45" i="1"/>
  <c r="M37" i="1"/>
  <c r="Q30" i="1"/>
  <c r="S25" i="1"/>
  <c r="Z45" i="1"/>
  <c r="G45" i="1"/>
  <c r="Y38" i="1"/>
  <c r="O30" i="1"/>
  <c r="R25" i="1"/>
  <c r="Y45" i="1"/>
  <c r="F45" i="1"/>
  <c r="Z41" i="1"/>
  <c r="X38" i="1"/>
  <c r="Z29" i="1"/>
  <c r="Q25" i="1"/>
  <c r="O38" i="1"/>
  <c r="L33" i="1"/>
  <c r="T33" i="1"/>
  <c r="M33" i="1"/>
  <c r="U33" i="1"/>
  <c r="I33" i="1"/>
  <c r="G33" i="1"/>
  <c r="R33" i="1"/>
  <c r="H33" i="1"/>
  <c r="S33" i="1"/>
  <c r="J33" i="1"/>
  <c r="V33" i="1"/>
  <c r="K33" i="1"/>
  <c r="W33" i="1"/>
  <c r="N33" i="1"/>
  <c r="X33" i="1"/>
  <c r="O33" i="1"/>
  <c r="Y33" i="1"/>
  <c r="P25" i="1"/>
  <c r="R45" i="1"/>
  <c r="R41" i="1"/>
  <c r="N38" i="1"/>
  <c r="U31" i="1"/>
  <c r="L29" i="1"/>
  <c r="I40" i="1"/>
  <c r="Q40" i="1"/>
  <c r="Y40" i="1"/>
  <c r="N40" i="1"/>
  <c r="W40" i="1"/>
  <c r="F40" i="1"/>
  <c r="O40" i="1"/>
  <c r="X40" i="1"/>
  <c r="G40" i="1"/>
  <c r="P40" i="1"/>
  <c r="Z40" i="1"/>
  <c r="H40" i="1"/>
  <c r="R40" i="1"/>
  <c r="J40" i="1"/>
  <c r="S40" i="1"/>
  <c r="K40" i="1"/>
  <c r="T40" i="1"/>
  <c r="I32" i="1"/>
  <c r="Q32" i="1"/>
  <c r="Y32" i="1"/>
  <c r="J32" i="1"/>
  <c r="R32" i="1"/>
  <c r="Z32" i="1"/>
  <c r="F32" i="1"/>
  <c r="N32" i="1"/>
  <c r="V32" i="1"/>
  <c r="O32" i="1"/>
  <c r="P32" i="1"/>
  <c r="S32" i="1"/>
  <c r="G32" i="1"/>
  <c r="T32" i="1"/>
  <c r="H32" i="1"/>
  <c r="U32" i="1"/>
  <c r="K32" i="1"/>
  <c r="W32" i="1"/>
  <c r="Z25" i="1"/>
  <c r="O25" i="1"/>
  <c r="Q45" i="1"/>
  <c r="Z37" i="1"/>
  <c r="Z33" i="1"/>
  <c r="K29" i="1"/>
  <c r="U45" i="1"/>
  <c r="W29" i="1"/>
  <c r="L41" i="1"/>
  <c r="T41" i="1"/>
  <c r="K41" i="1"/>
  <c r="U41" i="1"/>
  <c r="M41" i="1"/>
  <c r="V41" i="1"/>
  <c r="N41" i="1"/>
  <c r="W41" i="1"/>
  <c r="F41" i="1"/>
  <c r="O41" i="1"/>
  <c r="X41" i="1"/>
  <c r="G41" i="1"/>
  <c r="P41" i="1"/>
  <c r="Y41" i="1"/>
  <c r="F25" i="1"/>
  <c r="F39" i="1"/>
  <c r="N39" i="1"/>
  <c r="V39" i="1"/>
  <c r="G39" i="1"/>
  <c r="O39" i="1"/>
  <c r="Q39" i="1"/>
  <c r="Z39" i="1"/>
  <c r="H39" i="1"/>
  <c r="R39" i="1"/>
  <c r="I39" i="1"/>
  <c r="S39" i="1"/>
  <c r="J39" i="1"/>
  <c r="T39" i="1"/>
  <c r="K39" i="1"/>
  <c r="U39" i="1"/>
  <c r="L39" i="1"/>
  <c r="W39" i="1"/>
  <c r="F31" i="1"/>
  <c r="N31" i="1"/>
  <c r="V31" i="1"/>
  <c r="G31" i="1"/>
  <c r="O31" i="1"/>
  <c r="W31" i="1"/>
  <c r="K31" i="1"/>
  <c r="S31" i="1"/>
  <c r="J31" i="1"/>
  <c r="X31" i="1"/>
  <c r="L31" i="1"/>
  <c r="Y31" i="1"/>
  <c r="M31" i="1"/>
  <c r="Z31" i="1"/>
  <c r="P31" i="1"/>
  <c r="Q31" i="1"/>
  <c r="R31" i="1"/>
  <c r="Y25" i="1"/>
  <c r="N25" i="1"/>
  <c r="O45" i="1"/>
  <c r="J41" i="1"/>
  <c r="X39" i="1"/>
  <c r="W37" i="1"/>
  <c r="Q33" i="1"/>
  <c r="I31" i="1"/>
  <c r="M44" i="1"/>
  <c r="U44" i="1"/>
  <c r="M36" i="1"/>
  <c r="U36" i="1"/>
  <c r="F36" i="1"/>
  <c r="N36" i="1"/>
  <c r="V36" i="1"/>
  <c r="M28" i="1"/>
  <c r="U28" i="1"/>
  <c r="F28" i="1"/>
  <c r="N28" i="1"/>
  <c r="V28" i="1"/>
  <c r="J28" i="1"/>
  <c r="R28" i="1"/>
  <c r="Z28" i="1"/>
  <c r="Z44" i="1"/>
  <c r="Q44" i="1"/>
  <c r="H44" i="1"/>
  <c r="T36" i="1"/>
  <c r="J36" i="1"/>
  <c r="P28" i="1"/>
  <c r="J43" i="1"/>
  <c r="R43" i="1"/>
  <c r="Z43" i="1"/>
  <c r="J35" i="1"/>
  <c r="R35" i="1"/>
  <c r="Z35" i="1"/>
  <c r="K35" i="1"/>
  <c r="S35" i="1"/>
  <c r="J27" i="1"/>
  <c r="R27" i="1"/>
  <c r="Z27" i="1"/>
  <c r="K27" i="1"/>
  <c r="S27" i="1"/>
  <c r="G27" i="1"/>
  <c r="O27" i="1"/>
  <c r="W27" i="1"/>
  <c r="Y44" i="1"/>
  <c r="P44" i="1"/>
  <c r="G44" i="1"/>
  <c r="S43" i="1"/>
  <c r="I43" i="1"/>
  <c r="S36" i="1"/>
  <c r="I36" i="1"/>
  <c r="T35" i="1"/>
  <c r="H35" i="1"/>
  <c r="O28" i="1"/>
  <c r="V27" i="1"/>
  <c r="I27" i="1"/>
  <c r="X28" i="1"/>
  <c r="K28" i="1"/>
  <c r="F27" i="1"/>
  <c r="W28" i="1"/>
  <c r="I28" i="1"/>
  <c r="Q27" i="1"/>
  <c r="M26" i="1"/>
  <c r="T26" i="1"/>
  <c r="L26" i="1"/>
  <c r="K26" i="1"/>
  <c r="J26" i="1"/>
  <c r="I26" i="1"/>
  <c r="H26" i="1"/>
  <c r="W42" i="1"/>
  <c r="O42" i="1"/>
  <c r="W34" i="1"/>
  <c r="O34" i="1"/>
  <c r="W26" i="1"/>
  <c r="O26" i="1"/>
  <c r="G26" i="1"/>
  <c r="W101" i="2" l="1"/>
  <c r="W109" i="2"/>
  <c r="W103" i="2"/>
  <c r="W107" i="2"/>
  <c r="W111" i="2"/>
  <c r="W99" i="2"/>
</calcChain>
</file>

<file path=xl/sharedStrings.xml><?xml version="1.0" encoding="utf-8"?>
<sst xmlns="http://schemas.openxmlformats.org/spreadsheetml/2006/main" count="432" uniqueCount="69">
  <si>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</si>
  <si>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</si>
  <si>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</si>
  <si>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</si>
  <si>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</si>
  <si>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</si>
  <si>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</si>
  <si>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</si>
  <si>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</si>
  <si>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</si>
  <si>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</si>
  <si>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</si>
  <si>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</si>
  <si>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</si>
  <si>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</si>
  <si>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</si>
  <si>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</si>
  <si>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</si>
  <si>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</si>
  <si>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</si>
  <si>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</si>
  <si>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from_flow_sum</t>
  </si>
  <si>
    <t>id</t>
  </si>
  <si>
    <t>name</t>
  </si>
  <si>
    <t>population</t>
  </si>
  <si>
    <t>CENTRO</t>
  </si>
  <si>
    <t>ARGANZUELA</t>
  </si>
  <si>
    <t>RETIRO</t>
  </si>
  <si>
    <t>SALAMANCA</t>
  </si>
  <si>
    <t>CHAMARTIN</t>
  </si>
  <si>
    <t>TETUAN</t>
  </si>
  <si>
    <t>CHAMBERI</t>
  </si>
  <si>
    <t>FUENCARRAL</t>
  </si>
  <si>
    <t>MONCLOA</t>
  </si>
  <si>
    <t>LATINA</t>
  </si>
  <si>
    <t>CARABANCHEL</t>
  </si>
  <si>
    <t>USERA</t>
  </si>
  <si>
    <t>PUENTE_DE_VALLECAS</t>
  </si>
  <si>
    <t>MORATALAZ</t>
  </si>
  <si>
    <t>CIUDAD_LINEAL</t>
  </si>
  <si>
    <t>HORTALEZA</t>
  </si>
  <si>
    <t>VILLAVERDE</t>
  </si>
  <si>
    <t>VILLA_DE_VALLECAS</t>
  </si>
  <si>
    <t>VICALVARO</t>
  </si>
  <si>
    <t>SAN_BLAS</t>
  </si>
  <si>
    <t>BARAJAS</t>
  </si>
  <si>
    <t>zone_0</t>
  </si>
  <si>
    <t>zone_1</t>
  </si>
  <si>
    <t>zone_2</t>
  </si>
  <si>
    <t>zone_3</t>
  </si>
  <si>
    <t>zone_4</t>
  </si>
  <si>
    <t>zone_5</t>
  </si>
  <si>
    <t>zone_6</t>
  </si>
  <si>
    <t>zone_7</t>
  </si>
  <si>
    <t>zone_8</t>
  </si>
  <si>
    <t>zone_9</t>
  </si>
  <si>
    <t>zone_10</t>
  </si>
  <si>
    <t>zone_11</t>
  </si>
  <si>
    <t>zone_12</t>
  </si>
  <si>
    <t>zone_13</t>
  </si>
  <si>
    <t>zone_14</t>
  </si>
  <si>
    <t>zone_15</t>
  </si>
  <si>
    <t>zone_16</t>
  </si>
  <si>
    <t>zone_17</t>
  </si>
  <si>
    <t>zone_18</t>
  </si>
  <si>
    <t>zone_19</t>
  </si>
  <si>
    <t>zone_20</t>
  </si>
  <si>
    <t>diff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</si>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</sst>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164" fontId="0" fillId="33" borderId="0" xfId="0" applyNumberFormat="1" applyFill="1"/>
    <xf numFmtId="0" fontId="19" fillId="0" borderId="0" xfId="0" applyFont="1"/>
    <xf numFmtId="164" fontId="19" fillId="0" borderId="0" xfId="0" applyNumberFormat="1" applyFont="1"/>
    <xf numFmtId="164" fontId="19" fillId="33" borderId="0" xfId="0" applyNumberFormat="1" applyFont="1" applyFill="1"/>
    <xf numFmtId="1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A61C2-A8BE-42F1-AFA0-0604B0B0E10A}">
  <dimension ref="A1:AB92"/>
  <sheetViews>
    <sheetView topLeftCell="A10" zoomScaleNormal="100" workbookViewId="0">
      <selection activeCell="AA25" sqref="AA25"/>
    </sheetView>
  </sheetViews>
  <sheetFormatPr defaultRowHeight="15" x14ac:dyDescent="0.25"/>
  <sheetData>
    <row r="1" spans="5:26" x14ac:dyDescent="0.25">
      <c r="E1" t="s">
        <v>21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</row>
    <row r="2" spans="5:26" x14ac:dyDescent="0.25">
      <c r="E2">
        <f>SUM(F2:Z2)</f>
        <v>617952.92171428597</v>
      </c>
      <c r="F2">
        <v>193652.15385714301</v>
      </c>
      <c r="G2">
        <v>54673.959428571397</v>
      </c>
      <c r="H2">
        <v>36751.358857142899</v>
      </c>
      <c r="I2">
        <v>30873.095571428599</v>
      </c>
      <c r="J2">
        <v>21462.722714285701</v>
      </c>
      <c r="K2">
        <v>19547.069</v>
      </c>
      <c r="L2">
        <v>62654.3268571429</v>
      </c>
      <c r="M2">
        <v>13933.2027142857</v>
      </c>
      <c r="N2">
        <v>36782.147428571399</v>
      </c>
      <c r="O2">
        <v>27178.6701428571</v>
      </c>
      <c r="P2">
        <v>24534.4127142857</v>
      </c>
      <c r="Q2">
        <v>14037.483</v>
      </c>
      <c r="R2">
        <v>17497.348285714299</v>
      </c>
      <c r="S2">
        <v>5425.2582857142897</v>
      </c>
      <c r="T2">
        <v>15768.0901428571</v>
      </c>
      <c r="U2">
        <v>9124.1312857142893</v>
      </c>
      <c r="V2">
        <v>9669.7171428571401</v>
      </c>
      <c r="W2">
        <v>6145.8857142857196</v>
      </c>
      <c r="X2">
        <v>3747.8692857142901</v>
      </c>
      <c r="Y2">
        <v>9014.5485714285696</v>
      </c>
      <c r="Z2">
        <v>5479.4707142857096</v>
      </c>
    </row>
    <row r="3" spans="5:26" x14ac:dyDescent="0.25">
      <c r="E3">
        <f t="shared" ref="E3:E22" si="0">SUM(F3:Z3)</f>
        <v>410296.56128571433</v>
      </c>
      <c r="F3">
        <v>53663.197999999997</v>
      </c>
      <c r="G3">
        <v>123136.34485714301</v>
      </c>
      <c r="H3">
        <v>27185.464857142899</v>
      </c>
      <c r="I3">
        <v>12282.6267142857</v>
      </c>
      <c r="J3">
        <v>10125.968428571399</v>
      </c>
      <c r="K3">
        <v>6190.5784285714299</v>
      </c>
      <c r="L3">
        <v>12521.419285714301</v>
      </c>
      <c r="M3">
        <v>6266.4208571428599</v>
      </c>
      <c r="N3">
        <v>13369.093428571399</v>
      </c>
      <c r="O3">
        <v>15625.372142857101</v>
      </c>
      <c r="P3">
        <v>36435.810714285697</v>
      </c>
      <c r="Q3">
        <v>35616.661142857098</v>
      </c>
      <c r="R3">
        <v>17977.493428571401</v>
      </c>
      <c r="S3">
        <v>3175.1260000000002</v>
      </c>
      <c r="T3">
        <v>6571.3684285714298</v>
      </c>
      <c r="U3">
        <v>4808.6180000000004</v>
      </c>
      <c r="V3">
        <v>9881.5027142857107</v>
      </c>
      <c r="W3">
        <v>5058.0785714285703</v>
      </c>
      <c r="X3">
        <v>2699.4318571428598</v>
      </c>
      <c r="Y3">
        <v>4790.7160000000003</v>
      </c>
      <c r="Z3">
        <v>2915.2674285714302</v>
      </c>
    </row>
    <row r="4" spans="5:26" x14ac:dyDescent="0.25">
      <c r="E4">
        <f t="shared" si="0"/>
        <v>385058.51357142878</v>
      </c>
      <c r="F4">
        <v>35802.99</v>
      </c>
      <c r="G4">
        <v>27269.555142857102</v>
      </c>
      <c r="H4">
        <v>100315.31371428601</v>
      </c>
      <c r="I4">
        <v>41619.117142857103</v>
      </c>
      <c r="J4">
        <v>13599.730571428599</v>
      </c>
      <c r="K4">
        <v>7576.9589999999998</v>
      </c>
      <c r="L4">
        <v>11906.552142857099</v>
      </c>
      <c r="M4">
        <v>6780.835</v>
      </c>
      <c r="N4">
        <v>7143.9675714285704</v>
      </c>
      <c r="O4">
        <v>6482.7337142857104</v>
      </c>
      <c r="P4">
        <v>7770.1237142857099</v>
      </c>
      <c r="Q4">
        <v>6261.6818571428603</v>
      </c>
      <c r="R4">
        <v>39411.463571428598</v>
      </c>
      <c r="S4">
        <v>23722.553714285699</v>
      </c>
      <c r="T4">
        <v>13968.1387142857</v>
      </c>
      <c r="U4">
        <v>6595.4622857142904</v>
      </c>
      <c r="V4">
        <v>5348.7712857142897</v>
      </c>
      <c r="W4">
        <v>6860.3957142857198</v>
      </c>
      <c r="X4">
        <v>5743.0781428571399</v>
      </c>
      <c r="Y4">
        <v>7110.8172857142899</v>
      </c>
      <c r="Z4">
        <v>3768.2732857142901</v>
      </c>
    </row>
    <row r="5" spans="5:26" x14ac:dyDescent="0.25">
      <c r="E5">
        <f t="shared" si="0"/>
        <v>508429.38971428532</v>
      </c>
      <c r="F5">
        <v>31503.845142857099</v>
      </c>
      <c r="G5">
        <v>11531.097285714301</v>
      </c>
      <c r="H5">
        <v>42985.455999999998</v>
      </c>
      <c r="I5">
        <v>150948.46442857099</v>
      </c>
      <c r="J5">
        <v>45817.060571428599</v>
      </c>
      <c r="K5">
        <v>14199.571142857099</v>
      </c>
      <c r="L5">
        <v>38552.507142857103</v>
      </c>
      <c r="M5">
        <v>12656.962714285701</v>
      </c>
      <c r="N5">
        <v>11145.5125714286</v>
      </c>
      <c r="O5">
        <v>7809.9918571428598</v>
      </c>
      <c r="P5">
        <v>8149.518</v>
      </c>
      <c r="Q5">
        <v>5892.4707142857096</v>
      </c>
      <c r="R5">
        <v>12741.8622857143</v>
      </c>
      <c r="S5">
        <v>12371.288428571401</v>
      </c>
      <c r="T5">
        <v>53103.287428571399</v>
      </c>
      <c r="U5">
        <v>13665.3088571429</v>
      </c>
      <c r="V5">
        <v>4766.7851428571403</v>
      </c>
      <c r="W5">
        <v>5436.7495714285697</v>
      </c>
      <c r="X5">
        <v>5521.5188571428598</v>
      </c>
      <c r="Y5">
        <v>14121.9871428571</v>
      </c>
      <c r="Z5">
        <v>5508.1444285714297</v>
      </c>
    </row>
    <row r="6" spans="5:26" x14ac:dyDescent="0.25">
      <c r="E6">
        <f t="shared" si="0"/>
        <v>560609.98514285742</v>
      </c>
      <c r="F6">
        <v>21527.1561428571</v>
      </c>
      <c r="G6">
        <v>9791.973</v>
      </c>
      <c r="H6">
        <v>14294.4151428571</v>
      </c>
      <c r="I6">
        <v>45556.867285714303</v>
      </c>
      <c r="J6">
        <v>163403.119714286</v>
      </c>
      <c r="K6">
        <v>67984.381714285701</v>
      </c>
      <c r="L6">
        <v>32986.571857142902</v>
      </c>
      <c r="M6">
        <v>44129.370571428597</v>
      </c>
      <c r="N6">
        <v>14697.3277142857</v>
      </c>
      <c r="O6">
        <v>8807.0601428571408</v>
      </c>
      <c r="P6">
        <v>7314.5277142857203</v>
      </c>
      <c r="Q6">
        <v>5279.7690000000002</v>
      </c>
      <c r="R6">
        <v>9214.7274285714302</v>
      </c>
      <c r="S6">
        <v>4997.6638571428603</v>
      </c>
      <c r="T6">
        <v>40970.455428571397</v>
      </c>
      <c r="U6">
        <v>36033.931142857102</v>
      </c>
      <c r="V6">
        <v>5339.2677142857101</v>
      </c>
      <c r="W6">
        <v>4058.0355714285702</v>
      </c>
      <c r="X6">
        <v>3793.08514285714</v>
      </c>
      <c r="Y6">
        <v>11931.795</v>
      </c>
      <c r="Z6">
        <v>8498.4838571428609</v>
      </c>
    </row>
    <row r="7" spans="5:26" x14ac:dyDescent="0.25">
      <c r="E7">
        <f t="shared" si="0"/>
        <v>399806.75828571478</v>
      </c>
      <c r="F7">
        <v>19336.748</v>
      </c>
      <c r="G7">
        <v>6118.1855714285703</v>
      </c>
      <c r="H7">
        <v>7515.3977142857102</v>
      </c>
      <c r="I7">
        <v>13975.0212857143</v>
      </c>
      <c r="J7">
        <v>69254.4062857143</v>
      </c>
      <c r="K7">
        <v>111469.370571429</v>
      </c>
      <c r="L7">
        <v>40156.825857142903</v>
      </c>
      <c r="M7">
        <v>47805.837</v>
      </c>
      <c r="N7">
        <v>24290.356142857101</v>
      </c>
      <c r="O7">
        <v>6187.0465714285701</v>
      </c>
      <c r="P7">
        <v>4929.8289999999997</v>
      </c>
      <c r="Q7">
        <v>2997.5432857142901</v>
      </c>
      <c r="R7">
        <v>5602.2104285714304</v>
      </c>
      <c r="S7">
        <v>2312.5962857142899</v>
      </c>
      <c r="T7">
        <v>9471.3459999999995</v>
      </c>
      <c r="U7">
        <v>11858.5841428571</v>
      </c>
      <c r="V7">
        <v>3015.3321428571398</v>
      </c>
      <c r="W7">
        <v>2467.3427142857099</v>
      </c>
      <c r="X7">
        <v>1863.63685714286</v>
      </c>
      <c r="Y7">
        <v>5339.6379999999999</v>
      </c>
      <c r="Z7">
        <v>3839.5044285714298</v>
      </c>
    </row>
    <row r="8" spans="5:26" x14ac:dyDescent="0.25">
      <c r="E8">
        <f t="shared" si="0"/>
        <v>474336.9339999996</v>
      </c>
      <c r="F8">
        <v>65875.595428571396</v>
      </c>
      <c r="G8">
        <v>12968.4497142857</v>
      </c>
      <c r="H8">
        <v>12054.808428571399</v>
      </c>
      <c r="I8">
        <v>37378.8172857143</v>
      </c>
      <c r="J8">
        <v>33386.961142857101</v>
      </c>
      <c r="K8">
        <v>39982.9015714286</v>
      </c>
      <c r="L8">
        <v>125357.09928571399</v>
      </c>
      <c r="M8">
        <v>18591.357</v>
      </c>
      <c r="N8">
        <v>42759.434142857099</v>
      </c>
      <c r="O8">
        <v>13671.841428571401</v>
      </c>
      <c r="P8">
        <v>10376.7765714286</v>
      </c>
      <c r="Q8">
        <v>5275.9988571428603</v>
      </c>
      <c r="R8">
        <v>7423.04714285714</v>
      </c>
      <c r="S8">
        <v>3512.7867142857099</v>
      </c>
      <c r="T8">
        <v>13839.666571428599</v>
      </c>
      <c r="U8">
        <v>9413.1688571428604</v>
      </c>
      <c r="V8">
        <v>4410.4430000000002</v>
      </c>
      <c r="W8">
        <v>3026.4084285714298</v>
      </c>
      <c r="X8">
        <v>2446.4144285714301</v>
      </c>
      <c r="Y8">
        <v>8465.2295714285701</v>
      </c>
      <c r="Z8">
        <v>4119.7284285714304</v>
      </c>
    </row>
    <row r="9" spans="5:26" x14ac:dyDescent="0.25">
      <c r="E9">
        <f t="shared" si="0"/>
        <v>616173.41685714258</v>
      </c>
      <c r="F9">
        <v>13896.32</v>
      </c>
      <c r="G9">
        <v>6231.3811428571398</v>
      </c>
      <c r="H9">
        <v>7087.34957142857</v>
      </c>
      <c r="I9">
        <v>12854.7531428571</v>
      </c>
      <c r="J9">
        <v>43824.072</v>
      </c>
      <c r="K9">
        <v>48002.698428571399</v>
      </c>
      <c r="L9">
        <v>19030.411285714301</v>
      </c>
      <c r="M9">
        <v>320699.94328571402</v>
      </c>
      <c r="N9">
        <v>34553.504000000001</v>
      </c>
      <c r="O9">
        <v>6684.9325714285696</v>
      </c>
      <c r="P9">
        <v>5763.1251428571404</v>
      </c>
      <c r="Q9">
        <v>3460.7689999999998</v>
      </c>
      <c r="R9">
        <v>6291.0191428571397</v>
      </c>
      <c r="S9">
        <v>3076.9398571428601</v>
      </c>
      <c r="T9">
        <v>14076.057571428601</v>
      </c>
      <c r="U9">
        <v>44770.859142857102</v>
      </c>
      <c r="V9">
        <v>3818.567</v>
      </c>
      <c r="W9">
        <v>3575.3068571428598</v>
      </c>
      <c r="X9">
        <v>2814.1770000000001</v>
      </c>
      <c r="Y9">
        <v>9204.4940000000006</v>
      </c>
      <c r="Z9">
        <v>6456.7367142857101</v>
      </c>
    </row>
    <row r="10" spans="5:26" x14ac:dyDescent="0.25">
      <c r="E10">
        <f t="shared" si="0"/>
        <v>426087.24257142795</v>
      </c>
      <c r="F10">
        <v>36521.723142857103</v>
      </c>
      <c r="G10">
        <v>13165.3114285714</v>
      </c>
      <c r="H10">
        <v>7207.5702857142896</v>
      </c>
      <c r="I10">
        <v>11467.998</v>
      </c>
      <c r="J10">
        <v>15640.259714285699</v>
      </c>
      <c r="K10">
        <v>24908.288</v>
      </c>
      <c r="L10">
        <v>43711.615285714302</v>
      </c>
      <c r="M10">
        <v>36472.077142857102</v>
      </c>
      <c r="N10">
        <v>133172.45442857101</v>
      </c>
      <c r="O10">
        <v>43107.101857142901</v>
      </c>
      <c r="P10">
        <v>13843.2017142857</v>
      </c>
      <c r="Q10">
        <v>5330.0137142857102</v>
      </c>
      <c r="R10">
        <v>5559.2018571428598</v>
      </c>
      <c r="S10">
        <v>2415.3718571428599</v>
      </c>
      <c r="T10">
        <v>8240.36</v>
      </c>
      <c r="U10">
        <v>7420.1607142857101</v>
      </c>
      <c r="V10">
        <v>4166.7588571428596</v>
      </c>
      <c r="W10">
        <v>2373.08142857143</v>
      </c>
      <c r="X10">
        <v>1956.1055714285701</v>
      </c>
      <c r="Y10">
        <v>6224.19014285714</v>
      </c>
      <c r="Z10">
        <v>3184.3974285714298</v>
      </c>
    </row>
    <row r="11" spans="5:26" x14ac:dyDescent="0.25">
      <c r="E11">
        <f t="shared" si="0"/>
        <v>429075.37314285693</v>
      </c>
      <c r="F11">
        <v>27061.196</v>
      </c>
      <c r="G11">
        <v>15574.183000000001</v>
      </c>
      <c r="H11">
        <v>6783.6779999999999</v>
      </c>
      <c r="I11">
        <v>8140.1097142857197</v>
      </c>
      <c r="J11">
        <v>8886.0534285714293</v>
      </c>
      <c r="K11">
        <v>6388.99285714286</v>
      </c>
      <c r="L11">
        <v>13368.1081428571</v>
      </c>
      <c r="M11">
        <v>6986.1471428571404</v>
      </c>
      <c r="N11">
        <v>44753.464428571402</v>
      </c>
      <c r="O11">
        <v>176787.20714285699</v>
      </c>
      <c r="P11">
        <v>73214.710857142898</v>
      </c>
      <c r="Q11">
        <v>8848.7129999999997</v>
      </c>
      <c r="R11">
        <v>5569.9831428571397</v>
      </c>
      <c r="S11">
        <v>1975.61957142857</v>
      </c>
      <c r="T11">
        <v>4387.6098571428602</v>
      </c>
      <c r="U11">
        <v>3741.59228571429</v>
      </c>
      <c r="V11">
        <v>5716.2151428571397</v>
      </c>
      <c r="W11">
        <v>3020.7585714285701</v>
      </c>
      <c r="X11">
        <v>1895.5458571428601</v>
      </c>
      <c r="Y11">
        <v>3482.9968571428599</v>
      </c>
      <c r="Z11">
        <v>2492.4881428571398</v>
      </c>
    </row>
    <row r="12" spans="5:26" x14ac:dyDescent="0.25">
      <c r="E12">
        <f t="shared" si="0"/>
        <v>510826.10342857119</v>
      </c>
      <c r="F12">
        <v>24390.5958571429</v>
      </c>
      <c r="G12">
        <v>37096.8798571429</v>
      </c>
      <c r="H12">
        <v>7468.4081428571399</v>
      </c>
      <c r="I12">
        <v>8507.7865714285708</v>
      </c>
      <c r="J12">
        <v>7301.7011428571404</v>
      </c>
      <c r="K12">
        <v>4796.33157142857</v>
      </c>
      <c r="L12">
        <v>9706.6122857142891</v>
      </c>
      <c r="M12">
        <v>5565.4047142857098</v>
      </c>
      <c r="N12">
        <v>14144.138571428601</v>
      </c>
      <c r="O12">
        <v>73503.149000000005</v>
      </c>
      <c r="P12">
        <v>230286.393428571</v>
      </c>
      <c r="Q12">
        <v>39725.342571428599</v>
      </c>
      <c r="R12">
        <v>8422.9657142857195</v>
      </c>
      <c r="S12">
        <v>2538.5421428571399</v>
      </c>
      <c r="T12">
        <v>5052.9160000000002</v>
      </c>
      <c r="U12">
        <v>3907.96214285714</v>
      </c>
      <c r="V12">
        <v>14861.4687142857</v>
      </c>
      <c r="W12">
        <v>4077.0022857142899</v>
      </c>
      <c r="X12">
        <v>2253.7767142857101</v>
      </c>
      <c r="Y12">
        <v>4501.5374285714297</v>
      </c>
      <c r="Z12">
        <v>2717.18857142857</v>
      </c>
    </row>
    <row r="13" spans="5:26" x14ac:dyDescent="0.25">
      <c r="E13">
        <f t="shared" si="0"/>
        <v>300294.77371428587</v>
      </c>
      <c r="F13">
        <v>13749.699857142899</v>
      </c>
      <c r="G13">
        <v>36857.6372857143</v>
      </c>
      <c r="H13">
        <v>6318.4977142857097</v>
      </c>
      <c r="I13">
        <v>5801.9517142857103</v>
      </c>
      <c r="J13">
        <v>5161.4544285714301</v>
      </c>
      <c r="K13">
        <v>2963.8521428571398</v>
      </c>
      <c r="L13">
        <v>5109.06514285714</v>
      </c>
      <c r="M13">
        <v>3111.7235714285698</v>
      </c>
      <c r="N13">
        <v>5472.7271428571403</v>
      </c>
      <c r="O13">
        <v>9481.1878571428606</v>
      </c>
      <c r="P13">
        <v>39547.155142857097</v>
      </c>
      <c r="Q13">
        <v>103400.796857143</v>
      </c>
      <c r="R13">
        <v>17189.7292857143</v>
      </c>
      <c r="S13">
        <v>2035.94642857143</v>
      </c>
      <c r="T13">
        <v>3791.1138571428601</v>
      </c>
      <c r="U13">
        <v>2671.7719999999999</v>
      </c>
      <c r="V13">
        <v>27134.091428571399</v>
      </c>
      <c r="W13">
        <v>4054.9514285714299</v>
      </c>
      <c r="X13">
        <v>1658.17214285714</v>
      </c>
      <c r="Y13">
        <v>2905.8752857142899</v>
      </c>
      <c r="Z13">
        <v>1877.373</v>
      </c>
    </row>
    <row r="14" spans="5:26" x14ac:dyDescent="0.25">
      <c r="E14">
        <f t="shared" si="0"/>
        <v>494308.72542857088</v>
      </c>
      <c r="F14">
        <v>17410.803</v>
      </c>
      <c r="G14">
        <v>18741.865142857099</v>
      </c>
      <c r="H14">
        <v>38554.174142857097</v>
      </c>
      <c r="I14">
        <v>12849.5248571429</v>
      </c>
      <c r="J14">
        <v>9073.11</v>
      </c>
      <c r="K14">
        <v>5623.2487142857199</v>
      </c>
      <c r="L14">
        <v>7480.6319999999996</v>
      </c>
      <c r="M14">
        <v>6312.4769999999999</v>
      </c>
      <c r="N14">
        <v>5743.152</v>
      </c>
      <c r="O14">
        <v>5554.7957142857103</v>
      </c>
      <c r="P14">
        <v>8225.9210000000003</v>
      </c>
      <c r="Q14">
        <v>17174.114714285701</v>
      </c>
      <c r="R14">
        <v>209402.950428571</v>
      </c>
      <c r="S14">
        <v>30175.1372857143</v>
      </c>
      <c r="T14">
        <v>8842.1034285714304</v>
      </c>
      <c r="U14">
        <v>5494.1785714285697</v>
      </c>
      <c r="V14">
        <v>11613.0287142857</v>
      </c>
      <c r="W14">
        <v>49996.078999999998</v>
      </c>
      <c r="X14">
        <v>14865.721142857101</v>
      </c>
      <c r="Y14">
        <v>7518.4840000000004</v>
      </c>
      <c r="Z14">
        <v>3657.22457142857</v>
      </c>
    </row>
    <row r="15" spans="5:26" x14ac:dyDescent="0.25">
      <c r="E15">
        <f t="shared" si="0"/>
        <v>214083.77642857149</v>
      </c>
      <c r="F15">
        <v>5214.5212857142897</v>
      </c>
      <c r="G15">
        <v>3101.4485714285702</v>
      </c>
      <c r="H15">
        <v>23487.348000000002</v>
      </c>
      <c r="I15">
        <v>12326.3617142857</v>
      </c>
      <c r="J15">
        <v>5142.2388571428601</v>
      </c>
      <c r="K15">
        <v>2325.5531428571398</v>
      </c>
      <c r="L15">
        <v>3599.4734285714298</v>
      </c>
      <c r="M15">
        <v>3065.03457142857</v>
      </c>
      <c r="N15">
        <v>2474.8625714285699</v>
      </c>
      <c r="O15">
        <v>1775.13057142857</v>
      </c>
      <c r="P15">
        <v>2383.1451428571399</v>
      </c>
      <c r="Q15">
        <v>2032.86414285714</v>
      </c>
      <c r="R15">
        <v>30403.147571428599</v>
      </c>
      <c r="S15">
        <v>59144.247142857203</v>
      </c>
      <c r="T15">
        <v>18129.767857142899</v>
      </c>
      <c r="U15">
        <v>3083.7697142857101</v>
      </c>
      <c r="V15">
        <v>1494.29528571429</v>
      </c>
      <c r="W15">
        <v>8901.3520000000008</v>
      </c>
      <c r="X15">
        <v>14201.560142857101</v>
      </c>
      <c r="Y15">
        <v>9926.2891428571402</v>
      </c>
      <c r="Z15">
        <v>1871.3655714285701</v>
      </c>
    </row>
    <row r="16" spans="5:26" x14ac:dyDescent="0.25">
      <c r="E16">
        <f t="shared" si="0"/>
        <v>506052.03828571399</v>
      </c>
      <c r="F16">
        <v>15767.0562857143</v>
      </c>
      <c r="G16">
        <v>6496.56142857143</v>
      </c>
      <c r="H16">
        <v>14388.806428571401</v>
      </c>
      <c r="I16">
        <v>53530.017571428602</v>
      </c>
      <c r="J16">
        <v>41037.393571428598</v>
      </c>
      <c r="K16">
        <v>9486.0411428571406</v>
      </c>
      <c r="L16">
        <v>15359.377285714299</v>
      </c>
      <c r="M16">
        <v>14283.7388571429</v>
      </c>
      <c r="N16">
        <v>8659.3357142857094</v>
      </c>
      <c r="O16">
        <v>4340.3452857142902</v>
      </c>
      <c r="P16">
        <v>5178.7305714285703</v>
      </c>
      <c r="Q16">
        <v>3820.22814285714</v>
      </c>
      <c r="R16">
        <v>8795.1020000000008</v>
      </c>
      <c r="S16">
        <v>18017.872142857101</v>
      </c>
      <c r="T16">
        <v>170535.670285714</v>
      </c>
      <c r="U16">
        <v>35548.115714285697</v>
      </c>
      <c r="V16">
        <v>3472.9914285714299</v>
      </c>
      <c r="W16">
        <v>4356.8794285714303</v>
      </c>
      <c r="X16">
        <v>6184.0135714285698</v>
      </c>
      <c r="Y16">
        <v>58053.712428571402</v>
      </c>
      <c r="Z16">
        <v>8740.0490000000009</v>
      </c>
    </row>
    <row r="17" spans="1:27" x14ac:dyDescent="0.25">
      <c r="E17">
        <f t="shared" si="0"/>
        <v>487662.4068571424</v>
      </c>
      <c r="F17">
        <v>8984.7214285714308</v>
      </c>
      <c r="G17">
        <v>4839.5460000000003</v>
      </c>
      <c r="H17">
        <v>6954.6244285714301</v>
      </c>
      <c r="I17">
        <v>13726.231142857099</v>
      </c>
      <c r="J17">
        <v>36780.637714285702</v>
      </c>
      <c r="K17">
        <v>11740.9045714286</v>
      </c>
      <c r="L17">
        <v>10019.205857142901</v>
      </c>
      <c r="M17">
        <v>44420.926142857097</v>
      </c>
      <c r="N17">
        <v>6892.0394285714301</v>
      </c>
      <c r="O17">
        <v>3780.4160000000002</v>
      </c>
      <c r="P17">
        <v>3964.7907142857098</v>
      </c>
      <c r="Q17">
        <v>2728.1491428571399</v>
      </c>
      <c r="R17">
        <v>5380.7025714285701</v>
      </c>
      <c r="S17">
        <v>2840.3324285714298</v>
      </c>
      <c r="T17">
        <v>35643.762999999999</v>
      </c>
      <c r="U17">
        <v>224310.390428571</v>
      </c>
      <c r="V17">
        <v>2843.252</v>
      </c>
      <c r="W17">
        <v>3594.3794285714298</v>
      </c>
      <c r="X17">
        <v>3375.4262857142899</v>
      </c>
      <c r="Y17">
        <v>27362.447428571399</v>
      </c>
      <c r="Z17">
        <v>27479.5207142857</v>
      </c>
    </row>
    <row r="18" spans="1:27" x14ac:dyDescent="0.25">
      <c r="E18">
        <f t="shared" si="0"/>
        <v>260714.78985714255</v>
      </c>
      <c r="F18">
        <v>9590.9169999999995</v>
      </c>
      <c r="G18">
        <v>10087.183000000001</v>
      </c>
      <c r="H18">
        <v>5209.4201428571396</v>
      </c>
      <c r="I18">
        <v>4852.0985714285698</v>
      </c>
      <c r="J18">
        <v>5330.5844285714302</v>
      </c>
      <c r="K18">
        <v>2998.82257142857</v>
      </c>
      <c r="L18">
        <v>4352.5625714285698</v>
      </c>
      <c r="M18">
        <v>3760.846</v>
      </c>
      <c r="N18">
        <v>4199.99</v>
      </c>
      <c r="O18">
        <v>5492.1784285714302</v>
      </c>
      <c r="P18">
        <v>14896.108285714299</v>
      </c>
      <c r="Q18">
        <v>27028.926428571402</v>
      </c>
      <c r="R18">
        <v>11833.120428571399</v>
      </c>
      <c r="S18">
        <v>1497.85514285714</v>
      </c>
      <c r="T18">
        <v>3390.6325714285699</v>
      </c>
      <c r="U18">
        <v>2784.0239999999999</v>
      </c>
      <c r="V18">
        <v>125247.403285714</v>
      </c>
      <c r="W18">
        <v>10778.2</v>
      </c>
      <c r="X18">
        <v>2348.0807142857102</v>
      </c>
      <c r="Y18">
        <v>3070.9422857142899</v>
      </c>
      <c r="Z18">
        <v>1964.894</v>
      </c>
    </row>
    <row r="19" spans="1:27" x14ac:dyDescent="0.25">
      <c r="E19">
        <f t="shared" si="0"/>
        <v>285735.22657142841</v>
      </c>
      <c r="F19">
        <v>6349.2528571428602</v>
      </c>
      <c r="G19">
        <v>4986.4170000000004</v>
      </c>
      <c r="H19">
        <v>6732.4317142857099</v>
      </c>
      <c r="I19">
        <v>5635.6845714285701</v>
      </c>
      <c r="J19">
        <v>4088.2795714285699</v>
      </c>
      <c r="K19">
        <v>2559.7104285714299</v>
      </c>
      <c r="L19">
        <v>3261.3119999999999</v>
      </c>
      <c r="M19">
        <v>3573.6151428571402</v>
      </c>
      <c r="N19">
        <v>2475.3164285714302</v>
      </c>
      <c r="O19">
        <v>2943.03642857143</v>
      </c>
      <c r="P19">
        <v>4163.3145714285702</v>
      </c>
      <c r="Q19">
        <v>3950.4670000000001</v>
      </c>
      <c r="R19">
        <v>49612.220428571403</v>
      </c>
      <c r="S19">
        <v>8864.1587142857206</v>
      </c>
      <c r="T19">
        <v>4449.2538571428604</v>
      </c>
      <c r="U19">
        <v>3646.4574285714298</v>
      </c>
      <c r="V19">
        <v>10500.606285714301</v>
      </c>
      <c r="W19">
        <v>113804.327142857</v>
      </c>
      <c r="X19">
        <v>36475.864714285701</v>
      </c>
      <c r="Y19">
        <v>5317.0128571428604</v>
      </c>
      <c r="Z19">
        <v>2346.48742857143</v>
      </c>
    </row>
    <row r="20" spans="1:27" x14ac:dyDescent="0.25">
      <c r="E20">
        <f t="shared" si="0"/>
        <v>183538.81799999991</v>
      </c>
      <c r="F20">
        <v>3726.6582857142898</v>
      </c>
      <c r="G20">
        <v>2615.4229999999998</v>
      </c>
      <c r="H20">
        <v>5208.3372857142804</v>
      </c>
      <c r="I20">
        <v>5496.1049999999996</v>
      </c>
      <c r="J20">
        <v>3713.43828571429</v>
      </c>
      <c r="K20">
        <v>1867.40585714286</v>
      </c>
      <c r="L20">
        <v>2477.96757142857</v>
      </c>
      <c r="M20">
        <v>2869.6984285714302</v>
      </c>
      <c r="N20">
        <v>2038.1591428571401</v>
      </c>
      <c r="O20">
        <v>1816.36785714286</v>
      </c>
      <c r="P20">
        <v>2222.9580000000001</v>
      </c>
      <c r="Q20">
        <v>1674.81971428571</v>
      </c>
      <c r="R20">
        <v>14663.0127142857</v>
      </c>
      <c r="S20">
        <v>14477.754428571399</v>
      </c>
      <c r="T20">
        <v>6160.7204285714297</v>
      </c>
      <c r="U20">
        <v>3480.8530000000001</v>
      </c>
      <c r="V20">
        <v>2180.7348571428602</v>
      </c>
      <c r="W20">
        <v>36925.451142857099</v>
      </c>
      <c r="X20">
        <v>43438.190999999999</v>
      </c>
      <c r="Y20">
        <v>23682.177</v>
      </c>
      <c r="Z20">
        <v>2802.585</v>
      </c>
    </row>
    <row r="21" spans="1:27" x14ac:dyDescent="0.25">
      <c r="E21">
        <f t="shared" si="0"/>
        <v>429027.40157142823</v>
      </c>
      <c r="F21">
        <v>8382.5390000000007</v>
      </c>
      <c r="G21">
        <v>4395.9414285714302</v>
      </c>
      <c r="H21">
        <v>7036.31142857143</v>
      </c>
      <c r="I21">
        <v>13755.6948571429</v>
      </c>
      <c r="J21">
        <v>11221.2468571429</v>
      </c>
      <c r="K21">
        <v>5172.2431428571399</v>
      </c>
      <c r="L21">
        <v>9301.3807142857095</v>
      </c>
      <c r="M21">
        <v>8931.2891428571402</v>
      </c>
      <c r="N21">
        <v>6890.00528571429</v>
      </c>
      <c r="O21">
        <v>3354.7652857142898</v>
      </c>
      <c r="P21">
        <v>4249.6561428571404</v>
      </c>
      <c r="Q21">
        <v>2841.8941428571402</v>
      </c>
      <c r="R21">
        <v>7414.58714285714</v>
      </c>
      <c r="S21">
        <v>9827.9935714285693</v>
      </c>
      <c r="T21">
        <v>60293.5095714286</v>
      </c>
      <c r="U21">
        <v>27285.646000000001</v>
      </c>
      <c r="V21">
        <v>3093.9627142857098</v>
      </c>
      <c r="W21">
        <v>5458.8645714285703</v>
      </c>
      <c r="X21">
        <v>22786.605428571402</v>
      </c>
      <c r="Y21">
        <v>179620.48242857101</v>
      </c>
      <c r="Z21">
        <v>27712.782714285699</v>
      </c>
    </row>
    <row r="22" spans="1:27" x14ac:dyDescent="0.25">
      <c r="E22">
        <f t="shared" si="0"/>
        <v>217962.60371428565</v>
      </c>
      <c r="F22">
        <v>4793.4492857142804</v>
      </c>
      <c r="G22">
        <v>2660.2025714285701</v>
      </c>
      <c r="H22">
        <v>3724.1187142857102</v>
      </c>
      <c r="I22">
        <v>5222.9257142857196</v>
      </c>
      <c r="J22">
        <v>8331.8379999999997</v>
      </c>
      <c r="K22">
        <v>3663.4997142857101</v>
      </c>
      <c r="L22">
        <v>4232.0857142857103</v>
      </c>
      <c r="M22">
        <v>5912.7709999999997</v>
      </c>
      <c r="N22">
        <v>2695.3440000000001</v>
      </c>
      <c r="O22">
        <v>2333.42757142857</v>
      </c>
      <c r="P22">
        <v>2452.1568571428602</v>
      </c>
      <c r="Q22">
        <v>1790.9124285714299</v>
      </c>
      <c r="R22">
        <v>3431.5854285714299</v>
      </c>
      <c r="S22">
        <v>1710.50271428571</v>
      </c>
      <c r="T22">
        <v>8815.70814285714</v>
      </c>
      <c r="U22">
        <v>27912.796285714299</v>
      </c>
      <c r="V22">
        <v>1887.47471428571</v>
      </c>
      <c r="W22">
        <v>2299.6692857142898</v>
      </c>
      <c r="X22">
        <v>2736.85514285714</v>
      </c>
      <c r="Y22">
        <v>27968.603714285699</v>
      </c>
      <c r="Z22">
        <v>93386.676714285699</v>
      </c>
    </row>
    <row r="24" spans="1:27" x14ac:dyDescent="0.25">
      <c r="A24" t="s">
        <v>22</v>
      </c>
      <c r="B24" t="s">
        <v>23</v>
      </c>
      <c r="C24" t="s">
        <v>24</v>
      </c>
      <c r="F24" t="s">
        <v>46</v>
      </c>
      <c r="G24" t="s">
        <v>47</v>
      </c>
      <c r="H24" t="s">
        <v>48</v>
      </c>
      <c r="I24" t="s">
        <v>49</v>
      </c>
      <c r="J24" t="s">
        <v>50</v>
      </c>
      <c r="K24" t="s">
        <v>51</v>
      </c>
      <c r="L24" t="s">
        <v>52</v>
      </c>
      <c r="M24" t="s">
        <v>53</v>
      </c>
      <c r="N24" t="s">
        <v>54</v>
      </c>
      <c r="O24" t="s">
        <v>55</v>
      </c>
      <c r="P24" t="s">
        <v>56</v>
      </c>
      <c r="Q24" t="s">
        <v>57</v>
      </c>
      <c r="R24" t="s">
        <v>58</v>
      </c>
      <c r="S24" t="s">
        <v>59</v>
      </c>
      <c r="T24" t="s">
        <v>60</v>
      </c>
      <c r="U24" t="s">
        <v>61</v>
      </c>
      <c r="V24" t="s">
        <v>62</v>
      </c>
      <c r="W24" t="s">
        <v>63</v>
      </c>
      <c r="X24" t="s">
        <v>64</v>
      </c>
      <c r="Y24" t="s">
        <v>65</v>
      </c>
      <c r="Z24" t="s">
        <v>66</v>
      </c>
    </row>
    <row r="25" spans="1:27" x14ac:dyDescent="0.25">
      <c r="A25">
        <v>0</v>
      </c>
      <c r="B25" t="s">
        <v>25</v>
      </c>
      <c r="C25">
        <v>141236</v>
      </c>
      <c r="E25" t="s">
        <v>46</v>
      </c>
      <c r="F25" s="2">
        <f>F2/$E2</f>
        <v>0.31337687233507278</v>
      </c>
      <c r="G25" s="1">
        <f t="shared" ref="G25:Z25" si="1">G2/$E2</f>
        <v>8.8475929973594672E-2</v>
      </c>
      <c r="H25" s="1">
        <f t="shared" si="1"/>
        <v>5.9472748757606969E-2</v>
      </c>
      <c r="I25" s="1">
        <f t="shared" si="1"/>
        <v>4.9960271222251704E-2</v>
      </c>
      <c r="J25" s="1">
        <f t="shared" si="1"/>
        <v>3.4731970608287067E-2</v>
      </c>
      <c r="K25" s="1">
        <f t="shared" si="1"/>
        <v>3.1631971163391795E-2</v>
      </c>
      <c r="L25" s="1">
        <f t="shared" si="1"/>
        <v>0.10139012966122277</v>
      </c>
      <c r="M25" s="1">
        <f t="shared" si="1"/>
        <v>2.2547353082550511E-2</v>
      </c>
      <c r="N25" s="1">
        <f t="shared" si="1"/>
        <v>5.9522572247951655E-2</v>
      </c>
      <c r="O25" s="1">
        <f t="shared" si="1"/>
        <v>4.3981781116043193E-2</v>
      </c>
      <c r="P25" s="1">
        <f t="shared" si="1"/>
        <v>3.9702721440694672E-2</v>
      </c>
      <c r="Q25" s="1">
        <f t="shared" si="1"/>
        <v>2.2716104264153492E-2</v>
      </c>
      <c r="R25" s="1">
        <f t="shared" si="1"/>
        <v>2.8315018298116078E-2</v>
      </c>
      <c r="S25" s="1">
        <f t="shared" si="1"/>
        <v>8.7794038915842993E-3</v>
      </c>
      <c r="T25" s="1">
        <f t="shared" si="1"/>
        <v>2.5516652788232248E-2</v>
      </c>
      <c r="U25" s="1">
        <f t="shared" si="1"/>
        <v>1.4765091263591247E-2</v>
      </c>
      <c r="V25" s="1">
        <f t="shared" si="1"/>
        <v>1.5647983532518984E-2</v>
      </c>
      <c r="W25" s="1">
        <f t="shared" si="1"/>
        <v>9.945556527568785E-3</v>
      </c>
      <c r="X25" s="1">
        <f t="shared" si="1"/>
        <v>6.0649754277675196E-3</v>
      </c>
      <c r="Y25" s="1">
        <f t="shared" si="1"/>
        <v>1.4587759446821577E-2</v>
      </c>
      <c r="Z25" s="1">
        <f t="shared" si="1"/>
        <v>8.8671329509777339E-3</v>
      </c>
      <c r="AA25" s="1">
        <f>LARGE(F25:Z25, 2)</f>
        <v>0.10139012966122277</v>
      </c>
    </row>
    <row r="26" spans="1:27" x14ac:dyDescent="0.25">
      <c r="A26">
        <v>1</v>
      </c>
      <c r="B26" t="s">
        <v>26</v>
      </c>
      <c r="C26">
        <v>154243</v>
      </c>
      <c r="E26" t="s">
        <v>47</v>
      </c>
      <c r="F26" s="1">
        <f t="shared" ref="F26:Z26" si="2">F3/$E3</f>
        <v>0.13079124482993429</v>
      </c>
      <c r="G26" s="2">
        <f t="shared" si="2"/>
        <v>0.30011546884838675</v>
      </c>
      <c r="H26" s="1">
        <f t="shared" si="2"/>
        <v>6.625808603404798E-2</v>
      </c>
      <c r="I26" s="1">
        <f t="shared" si="2"/>
        <v>2.993597283827237E-2</v>
      </c>
      <c r="J26" s="1">
        <f t="shared" si="2"/>
        <v>2.4679632695044876E-2</v>
      </c>
      <c r="K26" s="1">
        <f t="shared" si="2"/>
        <v>1.5088058279534435E-2</v>
      </c>
      <c r="L26" s="1">
        <f t="shared" si="2"/>
        <v>3.0517972771882139E-2</v>
      </c>
      <c r="M26" s="1">
        <f t="shared" si="2"/>
        <v>1.5272906108465217E-2</v>
      </c>
      <c r="N26" s="1">
        <f t="shared" si="2"/>
        <v>3.2583976299186405E-2</v>
      </c>
      <c r="O26" s="1">
        <f t="shared" si="2"/>
        <v>3.8083117474572763E-2</v>
      </c>
      <c r="P26" s="1">
        <f t="shared" si="2"/>
        <v>8.880359757369069E-2</v>
      </c>
      <c r="Q26" s="1">
        <f t="shared" si="2"/>
        <v>8.680711588527075E-2</v>
      </c>
      <c r="R26" s="1">
        <f t="shared" si="2"/>
        <v>4.3815852056465529E-2</v>
      </c>
      <c r="S26" s="1">
        <f t="shared" si="2"/>
        <v>7.7386122614587737E-3</v>
      </c>
      <c r="T26" s="1">
        <f t="shared" si="2"/>
        <v>1.6016143074607414E-2</v>
      </c>
      <c r="U26" s="1">
        <f t="shared" si="2"/>
        <v>1.1719859374233138E-2</v>
      </c>
      <c r="V26" s="1">
        <f t="shared" si="2"/>
        <v>2.408380582893704E-2</v>
      </c>
      <c r="W26" s="1">
        <f t="shared" si="2"/>
        <v>1.2327860013202314E-2</v>
      </c>
      <c r="X26" s="1">
        <f t="shared" si="2"/>
        <v>6.5792212556787235E-3</v>
      </c>
      <c r="Y26" s="1">
        <f t="shared" si="2"/>
        <v>1.1676227519401351E-2</v>
      </c>
      <c r="Z26" s="1">
        <f t="shared" si="2"/>
        <v>7.1052689777269494E-3</v>
      </c>
      <c r="AA26" s="1">
        <f t="shared" ref="AA26:AA45" si="3">LARGE(F26:Z26, 2)</f>
        <v>0.13079124482993429</v>
      </c>
    </row>
    <row r="27" spans="1:27" x14ac:dyDescent="0.25">
      <c r="A27">
        <v>2</v>
      </c>
      <c r="B27" t="s">
        <v>27</v>
      </c>
      <c r="C27">
        <v>118557</v>
      </c>
      <c r="E27" t="s">
        <v>48</v>
      </c>
      <c r="F27" s="1">
        <f t="shared" ref="F27:Z27" si="4">F4/$E4</f>
        <v>9.2980647714879058E-2</v>
      </c>
      <c r="G27" s="1">
        <f t="shared" si="4"/>
        <v>7.0819250014578811E-2</v>
      </c>
      <c r="H27" s="2">
        <f t="shared" si="4"/>
        <v>0.26051966176220487</v>
      </c>
      <c r="I27" s="1">
        <f t="shared" si="4"/>
        <v>0.10808517582649607</v>
      </c>
      <c r="J27" s="1">
        <f t="shared" si="4"/>
        <v>3.5318607671573618E-2</v>
      </c>
      <c r="K27" s="1">
        <f t="shared" si="4"/>
        <v>1.9677422347381669E-2</v>
      </c>
      <c r="L27" s="1">
        <f t="shared" si="4"/>
        <v>3.0921409923970997E-2</v>
      </c>
      <c r="M27" s="1">
        <f t="shared" si="4"/>
        <v>1.7609882033531893E-2</v>
      </c>
      <c r="N27" s="1">
        <f t="shared" si="4"/>
        <v>1.8552940188669161E-2</v>
      </c>
      <c r="O27" s="1">
        <f t="shared" si="4"/>
        <v>1.6835710640853437E-2</v>
      </c>
      <c r="P27" s="1">
        <f t="shared" si="4"/>
        <v>2.0179072635526454E-2</v>
      </c>
      <c r="Q27" s="1">
        <f t="shared" si="4"/>
        <v>1.6261637222523873E-2</v>
      </c>
      <c r="R27" s="1">
        <f t="shared" si="4"/>
        <v>0.10235188207082124</v>
      </c>
      <c r="S27" s="1">
        <f t="shared" si="4"/>
        <v>6.1607659298994151E-2</v>
      </c>
      <c r="T27" s="1">
        <f t="shared" si="4"/>
        <v>3.6275366527364405E-2</v>
      </c>
      <c r="U27" s="1">
        <f t="shared" si="4"/>
        <v>1.7128467630909361E-2</v>
      </c>
      <c r="V27" s="1">
        <f t="shared" si="4"/>
        <v>1.3890801260577989E-2</v>
      </c>
      <c r="W27" s="1">
        <f t="shared" si="4"/>
        <v>1.7816501836708798E-2</v>
      </c>
      <c r="X27" s="1">
        <f t="shared" si="4"/>
        <v>1.491481928185388E-2</v>
      </c>
      <c r="Y27" s="1">
        <f t="shared" si="4"/>
        <v>1.8466848634928899E-2</v>
      </c>
      <c r="Z27" s="1">
        <f t="shared" si="4"/>
        <v>9.786235475651342E-3</v>
      </c>
      <c r="AA27" s="1">
        <f t="shared" si="3"/>
        <v>0.10808517582649607</v>
      </c>
    </row>
    <row r="28" spans="1:27" x14ac:dyDescent="0.25">
      <c r="A28">
        <v>3</v>
      </c>
      <c r="B28" t="s">
        <v>28</v>
      </c>
      <c r="C28">
        <v>146016</v>
      </c>
      <c r="E28" t="s">
        <v>49</v>
      </c>
      <c r="F28" s="1">
        <f t="shared" ref="F28:Z28" si="5">F5/$E5</f>
        <v>6.1963068579809787E-2</v>
      </c>
      <c r="G28" s="1">
        <f t="shared" si="5"/>
        <v>2.2679840148883336E-2</v>
      </c>
      <c r="H28" s="1">
        <f t="shared" si="5"/>
        <v>8.4545576769580355E-2</v>
      </c>
      <c r="I28" s="2">
        <f t="shared" si="5"/>
        <v>0.29689169721954373</v>
      </c>
      <c r="J28" s="1">
        <f t="shared" si="5"/>
        <v>9.0114894021322695E-2</v>
      </c>
      <c r="K28" s="1">
        <f t="shared" si="5"/>
        <v>2.7928305149386871E-2</v>
      </c>
      <c r="L28" s="1">
        <f t="shared" si="5"/>
        <v>7.5826669194953289E-2</v>
      </c>
      <c r="M28" s="1">
        <f t="shared" si="5"/>
        <v>2.4894238945152934E-2</v>
      </c>
      <c r="N28" s="1">
        <f t="shared" si="5"/>
        <v>2.1921456148889983E-2</v>
      </c>
      <c r="O28" s="1">
        <f t="shared" si="5"/>
        <v>1.5361015738157322E-2</v>
      </c>
      <c r="P28" s="1">
        <f t="shared" si="5"/>
        <v>1.6028809830564015E-2</v>
      </c>
      <c r="Q28" s="1">
        <f t="shared" si="5"/>
        <v>1.1589555665924458E-2</v>
      </c>
      <c r="R28" s="1">
        <f t="shared" si="5"/>
        <v>2.5061222941645169E-2</v>
      </c>
      <c r="S28" s="1">
        <f t="shared" si="5"/>
        <v>2.4332362917736747E-2</v>
      </c>
      <c r="T28" s="1">
        <f t="shared" si="5"/>
        <v>0.10444574704545125</v>
      </c>
      <c r="U28" s="1">
        <f t="shared" si="5"/>
        <v>2.6877495938663568E-2</v>
      </c>
      <c r="V28" s="1">
        <f t="shared" si="5"/>
        <v>9.3755106201391328E-3</v>
      </c>
      <c r="W28" s="1">
        <f t="shared" si="5"/>
        <v>1.0693224430798112E-2</v>
      </c>
      <c r="X28" s="1">
        <f t="shared" si="5"/>
        <v>1.0859952175946611E-2</v>
      </c>
      <c r="Y28" s="1">
        <f t="shared" si="5"/>
        <v>2.7775709722038352E-2</v>
      </c>
      <c r="Z28" s="1">
        <f t="shared" si="5"/>
        <v>1.0833646795411968E-2</v>
      </c>
      <c r="AA28" s="1">
        <f t="shared" si="3"/>
        <v>0.10444574704545125</v>
      </c>
    </row>
    <row r="29" spans="1:27" x14ac:dyDescent="0.25">
      <c r="A29">
        <v>4</v>
      </c>
      <c r="B29" t="s">
        <v>29</v>
      </c>
      <c r="C29">
        <v>145700</v>
      </c>
      <c r="E29" t="s">
        <v>50</v>
      </c>
      <c r="F29" s="1">
        <f t="shared" ref="F29:Z29" si="6">F6/$E6</f>
        <v>3.8399523221783936E-2</v>
      </c>
      <c r="G29" s="1">
        <f t="shared" si="6"/>
        <v>1.7466640372994356E-2</v>
      </c>
      <c r="H29" s="1">
        <f t="shared" si="6"/>
        <v>2.5497967431340928E-2</v>
      </c>
      <c r="I29" s="1">
        <f t="shared" si="6"/>
        <v>8.1263032220350612E-2</v>
      </c>
      <c r="J29" s="2">
        <f t="shared" si="6"/>
        <v>0.29147379469640877</v>
      </c>
      <c r="K29" s="1">
        <f t="shared" si="6"/>
        <v>0.12126858870871089</v>
      </c>
      <c r="L29" s="1">
        <f t="shared" si="6"/>
        <v>5.884050004699274E-2</v>
      </c>
      <c r="M29" s="1">
        <f t="shared" si="6"/>
        <v>7.8716704555633857E-2</v>
      </c>
      <c r="N29" s="1">
        <f t="shared" si="6"/>
        <v>2.6216671311233342E-2</v>
      </c>
      <c r="O29" s="1">
        <f t="shared" si="6"/>
        <v>1.570978108892028E-2</v>
      </c>
      <c r="P29" s="1">
        <f t="shared" si="6"/>
        <v>1.3047444583816672E-2</v>
      </c>
      <c r="Q29" s="1">
        <f t="shared" si="6"/>
        <v>9.4179003940762542E-3</v>
      </c>
      <c r="R29" s="1">
        <f t="shared" si="6"/>
        <v>1.6436966291678318E-2</v>
      </c>
      <c r="S29" s="1">
        <f t="shared" si="6"/>
        <v>8.9146893376673107E-3</v>
      </c>
      <c r="T29" s="1">
        <f t="shared" si="6"/>
        <v>7.3081922395890078E-2</v>
      </c>
      <c r="U29" s="1">
        <f t="shared" si="6"/>
        <v>6.4276292070814187E-2</v>
      </c>
      <c r="V29" s="1">
        <f t="shared" si="6"/>
        <v>9.5240324927946679E-3</v>
      </c>
      <c r="W29" s="1">
        <f t="shared" si="6"/>
        <v>7.238607372279467E-3</v>
      </c>
      <c r="X29" s="1">
        <f t="shared" si="6"/>
        <v>6.7659964028121394E-3</v>
      </c>
      <c r="Y29" s="1">
        <f t="shared" si="6"/>
        <v>2.1283593436102428E-2</v>
      </c>
      <c r="Z29" s="1">
        <f t="shared" si="6"/>
        <v>1.5159351567698594E-2</v>
      </c>
      <c r="AA29" s="1">
        <f t="shared" si="3"/>
        <v>0.12126858870871089</v>
      </c>
    </row>
    <row r="30" spans="1:27" x14ac:dyDescent="0.25">
      <c r="A30">
        <v>5</v>
      </c>
      <c r="B30" t="s">
        <v>30</v>
      </c>
      <c r="C30">
        <v>159849</v>
      </c>
      <c r="E30" t="s">
        <v>51</v>
      </c>
      <c r="F30" s="1">
        <f t="shared" ref="F30:Z30" si="7">F7/$E7</f>
        <v>4.8365235452526634E-2</v>
      </c>
      <c r="G30" s="1">
        <f t="shared" si="7"/>
        <v>1.5302856804277225E-2</v>
      </c>
      <c r="H30" s="1">
        <f t="shared" si="7"/>
        <v>1.8797575474987255E-2</v>
      </c>
      <c r="I30" s="1">
        <f t="shared" si="7"/>
        <v>3.4954439853983908E-2</v>
      </c>
      <c r="J30" s="1">
        <f t="shared" si="7"/>
        <v>0.17321969889319097</v>
      </c>
      <c r="K30" s="2">
        <f t="shared" si="7"/>
        <v>0.27880811982615211</v>
      </c>
      <c r="L30" s="1">
        <f t="shared" si="7"/>
        <v>0.1004405879213416</v>
      </c>
      <c r="M30" s="1">
        <f t="shared" si="7"/>
        <v>0.11957235841880494</v>
      </c>
      <c r="N30" s="1">
        <f t="shared" si="7"/>
        <v>6.0755241474678701E-2</v>
      </c>
      <c r="O30" s="1">
        <f t="shared" si="7"/>
        <v>1.5475092512085819E-2</v>
      </c>
      <c r="P30" s="1">
        <f t="shared" si="7"/>
        <v>1.2330529431613522E-2</v>
      </c>
      <c r="Q30" s="1">
        <f t="shared" si="7"/>
        <v>7.4974802791406272E-3</v>
      </c>
      <c r="R30" s="1">
        <f t="shared" si="7"/>
        <v>1.4012295471423498E-2</v>
      </c>
      <c r="S30" s="1">
        <f t="shared" si="7"/>
        <v>5.7842851272204713E-3</v>
      </c>
      <c r="T30" s="1">
        <f t="shared" si="7"/>
        <v>2.3689809648568948E-2</v>
      </c>
      <c r="U30" s="1">
        <f t="shared" si="7"/>
        <v>2.9660789611721805E-2</v>
      </c>
      <c r="V30" s="1">
        <f t="shared" si="7"/>
        <v>7.5419739170649201E-3</v>
      </c>
      <c r="W30" s="1">
        <f t="shared" si="7"/>
        <v>6.1713381856403427E-3</v>
      </c>
      <c r="X30" s="1">
        <f t="shared" si="7"/>
        <v>4.6613440581488247E-3</v>
      </c>
      <c r="Y30" s="1">
        <f t="shared" si="7"/>
        <v>1.3355547122052705E-2</v>
      </c>
      <c r="Z30" s="1">
        <f t="shared" si="7"/>
        <v>9.6034005153749716E-3</v>
      </c>
      <c r="AA30" s="1">
        <f t="shared" si="3"/>
        <v>0.17321969889319097</v>
      </c>
    </row>
    <row r="31" spans="1:27" x14ac:dyDescent="0.25">
      <c r="A31">
        <v>6</v>
      </c>
      <c r="B31" t="s">
        <v>31</v>
      </c>
      <c r="C31">
        <v>138667</v>
      </c>
      <c r="E31" t="s">
        <v>52</v>
      </c>
      <c r="F31" s="1">
        <f t="shared" ref="F31:Z31" si="8">F8/$E8</f>
        <v>0.13887932966352448</v>
      </c>
      <c r="G31" s="1">
        <f t="shared" si="8"/>
        <v>2.7340164310894061E-2</v>
      </c>
      <c r="H31" s="1">
        <f t="shared" si="8"/>
        <v>2.5414020213259232E-2</v>
      </c>
      <c r="I31" s="1">
        <f t="shared" si="8"/>
        <v>7.8802249216617673E-2</v>
      </c>
      <c r="J31" s="1">
        <f t="shared" si="8"/>
        <v>7.0386593894999391E-2</v>
      </c>
      <c r="K31" s="1">
        <f t="shared" si="8"/>
        <v>8.4292195495425271E-2</v>
      </c>
      <c r="L31" s="2">
        <f t="shared" si="8"/>
        <v>0.2642785967109913</v>
      </c>
      <c r="M31" s="1">
        <f t="shared" si="8"/>
        <v>3.9194411540384111E-2</v>
      </c>
      <c r="N31" s="1">
        <f t="shared" si="8"/>
        <v>9.0145698295669999E-2</v>
      </c>
      <c r="O31" s="1">
        <f t="shared" si="8"/>
        <v>2.8823058987372491E-2</v>
      </c>
      <c r="P31" s="1">
        <f t="shared" si="8"/>
        <v>2.1876383278702494E-2</v>
      </c>
      <c r="Q31" s="1">
        <f t="shared" si="8"/>
        <v>1.112289277718961E-2</v>
      </c>
      <c r="R31" s="1">
        <f t="shared" si="8"/>
        <v>1.5649312989945551E-2</v>
      </c>
      <c r="S31" s="1">
        <f t="shared" si="8"/>
        <v>7.4056782478711912E-3</v>
      </c>
      <c r="T31" s="1">
        <f t="shared" si="8"/>
        <v>2.9176868971009986E-2</v>
      </c>
      <c r="U31" s="1">
        <f t="shared" si="8"/>
        <v>1.9844899653424137E-2</v>
      </c>
      <c r="V31" s="1">
        <f t="shared" si="8"/>
        <v>9.2981226715944578E-3</v>
      </c>
      <c r="W31" s="1">
        <f t="shared" si="8"/>
        <v>6.3802925971845831E-3</v>
      </c>
      <c r="X31" s="1">
        <f t="shared" si="8"/>
        <v>5.1575457300810403E-3</v>
      </c>
      <c r="Y31" s="1">
        <f t="shared" si="8"/>
        <v>1.7846448304252388E-2</v>
      </c>
      <c r="Z31" s="1">
        <f t="shared" si="8"/>
        <v>8.685236449606587E-3</v>
      </c>
      <c r="AA31" s="1">
        <f t="shared" si="3"/>
        <v>0.13887932966352448</v>
      </c>
    </row>
    <row r="32" spans="1:27" x14ac:dyDescent="0.25">
      <c r="A32">
        <v>7</v>
      </c>
      <c r="B32" t="s">
        <v>32</v>
      </c>
      <c r="C32">
        <v>247692</v>
      </c>
      <c r="E32" t="s">
        <v>53</v>
      </c>
      <c r="F32" s="1">
        <f t="shared" ref="F32:Z32" si="9">F9/$E9</f>
        <v>2.2552612007963022E-2</v>
      </c>
      <c r="G32" s="1">
        <f t="shared" si="9"/>
        <v>1.0113031449232191E-2</v>
      </c>
      <c r="H32" s="1">
        <f t="shared" si="9"/>
        <v>1.1502199506720597E-2</v>
      </c>
      <c r="I32" s="1">
        <f t="shared" si="9"/>
        <v>2.0862232597479005E-2</v>
      </c>
      <c r="J32" s="1">
        <f t="shared" si="9"/>
        <v>7.1122951430669143E-2</v>
      </c>
      <c r="K32" s="1">
        <f t="shared" si="9"/>
        <v>7.7904526737641852E-2</v>
      </c>
      <c r="L32" s="1">
        <f t="shared" si="9"/>
        <v>3.0884830090173183E-2</v>
      </c>
      <c r="M32" s="2">
        <f t="shared" si="9"/>
        <v>0.52047026780460259</v>
      </c>
      <c r="N32" s="1">
        <f t="shared" si="9"/>
        <v>5.607756364473461E-2</v>
      </c>
      <c r="O32" s="1">
        <f t="shared" si="9"/>
        <v>1.0849109014676051E-2</v>
      </c>
      <c r="P32" s="1">
        <f t="shared" si="9"/>
        <v>9.3530895445840031E-3</v>
      </c>
      <c r="Q32" s="1">
        <f t="shared" si="9"/>
        <v>5.6165503173636029E-3</v>
      </c>
      <c r="R32" s="1">
        <f t="shared" si="9"/>
        <v>1.0209819136542998E-2</v>
      </c>
      <c r="S32" s="1">
        <f t="shared" si="9"/>
        <v>4.9936264255558381E-3</v>
      </c>
      <c r="T32" s="1">
        <f t="shared" si="9"/>
        <v>2.2844311660222241E-2</v>
      </c>
      <c r="U32" s="1">
        <f t="shared" si="9"/>
        <v>7.2659510972114941E-2</v>
      </c>
      <c r="V32" s="1">
        <f t="shared" si="9"/>
        <v>6.1972277536363109E-3</v>
      </c>
      <c r="W32" s="1">
        <f t="shared" si="9"/>
        <v>5.8024360664228085E-3</v>
      </c>
      <c r="X32" s="1">
        <f t="shared" si="9"/>
        <v>4.5671833983913267E-3</v>
      </c>
      <c r="Y32" s="1">
        <f t="shared" si="9"/>
        <v>1.4938154987192554E-2</v>
      </c>
      <c r="Z32" s="1">
        <f t="shared" si="9"/>
        <v>1.0478765454081053E-2</v>
      </c>
      <c r="AA32" s="1">
        <f t="shared" si="3"/>
        <v>7.7904526737641852E-2</v>
      </c>
    </row>
    <row r="33" spans="1:28" x14ac:dyDescent="0.25">
      <c r="A33">
        <v>8</v>
      </c>
      <c r="B33" t="s">
        <v>33</v>
      </c>
      <c r="C33">
        <v>120834</v>
      </c>
      <c r="E33" t="s">
        <v>54</v>
      </c>
      <c r="F33" s="1">
        <f t="shared" ref="F33:Z33" si="10">F10/$E10</f>
        <v>8.5714190648960145E-2</v>
      </c>
      <c r="G33" s="1">
        <f t="shared" si="10"/>
        <v>3.0898159140177513E-2</v>
      </c>
      <c r="H33" s="1">
        <f t="shared" si="10"/>
        <v>1.6915714824543321E-2</v>
      </c>
      <c r="I33" s="1">
        <f t="shared" si="10"/>
        <v>2.6914671114748382E-2</v>
      </c>
      <c r="J33" s="1">
        <f t="shared" si="10"/>
        <v>3.6706707339785732E-2</v>
      </c>
      <c r="K33" s="1">
        <f t="shared" si="10"/>
        <v>5.8458187693391103E-2</v>
      </c>
      <c r="L33" s="1">
        <f t="shared" si="10"/>
        <v>0.10258841598240676</v>
      </c>
      <c r="M33" s="1">
        <f t="shared" si="10"/>
        <v>8.5597674604733179E-2</v>
      </c>
      <c r="N33" s="2">
        <f t="shared" si="10"/>
        <v>0.31254738730237014</v>
      </c>
      <c r="O33" s="1">
        <f t="shared" si="10"/>
        <v>0.1011696609290445</v>
      </c>
      <c r="P33" s="1">
        <f t="shared" si="10"/>
        <v>3.2489125069181266E-2</v>
      </c>
      <c r="Q33" s="1">
        <f t="shared" si="10"/>
        <v>1.2509207462113122E-2</v>
      </c>
      <c r="R33" s="1">
        <f t="shared" si="10"/>
        <v>1.304709764036395E-2</v>
      </c>
      <c r="S33" s="1">
        <f t="shared" si="10"/>
        <v>5.6687260631558441E-3</v>
      </c>
      <c r="T33" s="1">
        <f t="shared" si="10"/>
        <v>1.933960742468982E-2</v>
      </c>
      <c r="U33" s="1">
        <f t="shared" si="10"/>
        <v>1.7414651209703414E-2</v>
      </c>
      <c r="V33" s="1">
        <f t="shared" si="10"/>
        <v>9.7791213649030036E-3</v>
      </c>
      <c r="W33" s="1">
        <f t="shared" si="10"/>
        <v>5.5694730831412163E-3</v>
      </c>
      <c r="X33" s="1">
        <f t="shared" si="10"/>
        <v>4.590856932546284E-3</v>
      </c>
      <c r="Y33" s="1">
        <f t="shared" si="10"/>
        <v>1.4607783385614357E-2</v>
      </c>
      <c r="Z33" s="1">
        <f t="shared" si="10"/>
        <v>7.4735807844272814E-3</v>
      </c>
      <c r="AA33" s="1">
        <f t="shared" si="3"/>
        <v>0.10258841598240676</v>
      </c>
    </row>
    <row r="34" spans="1:28" x14ac:dyDescent="0.25">
      <c r="A34">
        <v>9</v>
      </c>
      <c r="B34" t="s">
        <v>34</v>
      </c>
      <c r="C34">
        <v>240155</v>
      </c>
      <c r="E34" t="s">
        <v>55</v>
      </c>
      <c r="F34" s="1">
        <f t="shared" ref="F34:Z34" si="11">F11/$E11</f>
        <v>6.3068630114528179E-2</v>
      </c>
      <c r="G34" s="1">
        <f t="shared" si="11"/>
        <v>3.6297079662073059E-2</v>
      </c>
      <c r="H34" s="1">
        <f t="shared" si="11"/>
        <v>1.5809991494761068E-2</v>
      </c>
      <c r="I34" s="1">
        <f t="shared" si="11"/>
        <v>1.8971281559838068E-2</v>
      </c>
      <c r="J34" s="1">
        <f t="shared" si="11"/>
        <v>2.0709772652491278E-2</v>
      </c>
      <c r="K34" s="1">
        <f t="shared" si="11"/>
        <v>1.4890141119834673E-2</v>
      </c>
      <c r="L34" s="1">
        <f t="shared" si="11"/>
        <v>3.1155617356781518E-2</v>
      </c>
      <c r="M34" s="1">
        <f t="shared" si="11"/>
        <v>1.6281864632979443E-2</v>
      </c>
      <c r="N34" s="1">
        <f t="shared" si="11"/>
        <v>0.10430210454812358</v>
      </c>
      <c r="O34" s="2">
        <f t="shared" si="11"/>
        <v>0.41201900227444938</v>
      </c>
      <c r="P34" s="1">
        <f t="shared" si="11"/>
        <v>0.17063368219169897</v>
      </c>
      <c r="Q34" s="1">
        <f t="shared" si="11"/>
        <v>2.0622747316364619E-2</v>
      </c>
      <c r="R34" s="1">
        <f t="shared" si="11"/>
        <v>1.2981362929451236E-2</v>
      </c>
      <c r="S34" s="1">
        <f t="shared" si="11"/>
        <v>4.6043648624196493E-3</v>
      </c>
      <c r="T34" s="1">
        <f t="shared" si="11"/>
        <v>1.022573219480029E-2</v>
      </c>
      <c r="U34" s="1">
        <f t="shared" si="11"/>
        <v>8.7201282569730684E-3</v>
      </c>
      <c r="V34" s="1">
        <f t="shared" si="11"/>
        <v>1.3322170184197393E-2</v>
      </c>
      <c r="W34" s="1">
        <f t="shared" si="11"/>
        <v>7.0401583509730695E-3</v>
      </c>
      <c r="X34" s="1">
        <f t="shared" si="11"/>
        <v>4.4177456358273784E-3</v>
      </c>
      <c r="Y34" s="1">
        <f t="shared" si="11"/>
        <v>8.1174475981478107E-3</v>
      </c>
      <c r="Z34" s="1">
        <f t="shared" si="11"/>
        <v>5.8089750632863459E-3</v>
      </c>
      <c r="AA34" s="1">
        <f t="shared" si="3"/>
        <v>0.17063368219169897</v>
      </c>
    </row>
    <row r="35" spans="1:28" x14ac:dyDescent="0.25">
      <c r="A35">
        <v>10</v>
      </c>
      <c r="B35" t="s">
        <v>35</v>
      </c>
      <c r="C35">
        <v>258633</v>
      </c>
      <c r="E35" t="s">
        <v>56</v>
      </c>
      <c r="F35" s="1">
        <f t="shared" ref="F35:Z35" si="12">F12/$E12</f>
        <v>4.7747356083484557E-2</v>
      </c>
      <c r="G35" s="1">
        <f t="shared" si="12"/>
        <v>7.2621347280719284E-2</v>
      </c>
      <c r="H35" s="1">
        <f t="shared" si="12"/>
        <v>1.4620255489550265E-2</v>
      </c>
      <c r="I35" s="1">
        <f t="shared" si="12"/>
        <v>1.6654956577837089E-2</v>
      </c>
      <c r="J35" s="1">
        <f t="shared" si="12"/>
        <v>1.429390764068136E-2</v>
      </c>
      <c r="K35" s="1">
        <f t="shared" si="12"/>
        <v>9.3893627190084292E-3</v>
      </c>
      <c r="L35" s="1">
        <f t="shared" si="12"/>
        <v>1.900179380138424E-2</v>
      </c>
      <c r="M35" s="1">
        <f t="shared" si="12"/>
        <v>1.0894910571193862E-2</v>
      </c>
      <c r="N35" s="1">
        <f t="shared" si="12"/>
        <v>2.768875450274709E-2</v>
      </c>
      <c r="O35" s="1">
        <f t="shared" si="12"/>
        <v>0.14389074580695924</v>
      </c>
      <c r="P35" s="2">
        <f t="shared" si="12"/>
        <v>0.45081171827933408</v>
      </c>
      <c r="Q35" s="1">
        <f t="shared" si="12"/>
        <v>7.7766860982239117E-2</v>
      </c>
      <c r="R35" s="1">
        <f t="shared" si="12"/>
        <v>1.6488910135469423E-2</v>
      </c>
      <c r="S35" s="1">
        <f t="shared" si="12"/>
        <v>4.9694839903812868E-3</v>
      </c>
      <c r="T35" s="1">
        <f t="shared" si="12"/>
        <v>9.8916558219827727E-3</v>
      </c>
      <c r="U35" s="1">
        <f t="shared" si="12"/>
        <v>7.6502788652099297E-3</v>
      </c>
      <c r="V35" s="1">
        <f t="shared" si="12"/>
        <v>2.9093009567322903E-2</v>
      </c>
      <c r="W35" s="1">
        <f t="shared" si="12"/>
        <v>7.981194105685277E-3</v>
      </c>
      <c r="X35" s="1">
        <f t="shared" si="12"/>
        <v>4.4120233855685408E-3</v>
      </c>
      <c r="Y35" s="1">
        <f t="shared" si="12"/>
        <v>8.8122697692187921E-3</v>
      </c>
      <c r="Z35" s="1">
        <f t="shared" si="12"/>
        <v>5.31920462402234E-3</v>
      </c>
      <c r="AA35" s="1">
        <f t="shared" si="3"/>
        <v>0.14389074580695924</v>
      </c>
    </row>
    <row r="36" spans="1:28" x14ac:dyDescent="0.25">
      <c r="A36">
        <v>11</v>
      </c>
      <c r="B36" t="s">
        <v>36</v>
      </c>
      <c r="C36">
        <v>142454</v>
      </c>
      <c r="E36" t="s">
        <v>57</v>
      </c>
      <c r="F36" s="1">
        <f t="shared" ref="F36:Z36" si="13">F13/$E13</f>
        <v>4.5787343173094949E-2</v>
      </c>
      <c r="G36" s="1">
        <f t="shared" si="13"/>
        <v>0.12273819097758369</v>
      </c>
      <c r="H36" s="1">
        <f t="shared" si="13"/>
        <v>2.1040984616993091E-2</v>
      </c>
      <c r="I36" s="1">
        <f t="shared" si="13"/>
        <v>1.9320854780529587E-2</v>
      </c>
      <c r="J36" s="1">
        <f t="shared" si="13"/>
        <v>1.7187959566296925E-2</v>
      </c>
      <c r="K36" s="1">
        <f t="shared" si="13"/>
        <v>9.8698092750594581E-3</v>
      </c>
      <c r="L36" s="1">
        <f t="shared" si="13"/>
        <v>1.7013500034196858E-2</v>
      </c>
      <c r="M36" s="1">
        <f t="shared" si="13"/>
        <v>1.0362230194486186E-2</v>
      </c>
      <c r="N36" s="1">
        <f t="shared" si="13"/>
        <v>1.8224516781181622E-2</v>
      </c>
      <c r="O36" s="1">
        <f t="shared" si="13"/>
        <v>3.157293661781705E-2</v>
      </c>
      <c r="P36" s="1">
        <f t="shared" si="13"/>
        <v>0.13169445026866855</v>
      </c>
      <c r="Q36" s="2">
        <f t="shared" si="13"/>
        <v>0.34433099044049043</v>
      </c>
      <c r="R36" s="1">
        <f t="shared" si="13"/>
        <v>5.724285199205429E-2</v>
      </c>
      <c r="S36" s="1">
        <f t="shared" si="13"/>
        <v>6.7798263798907214E-3</v>
      </c>
      <c r="T36" s="1">
        <f t="shared" si="13"/>
        <v>1.2624641482272011E-2</v>
      </c>
      <c r="U36" s="1">
        <f t="shared" si="13"/>
        <v>8.8971644992464818E-3</v>
      </c>
      <c r="V36" s="1">
        <f t="shared" si="13"/>
        <v>9.0358187366883752E-2</v>
      </c>
      <c r="W36" s="1">
        <f t="shared" si="13"/>
        <v>1.3503236764385036E-2</v>
      </c>
      <c r="X36" s="1">
        <f t="shared" si="13"/>
        <v>5.5218148566075296E-3</v>
      </c>
      <c r="Y36" s="1">
        <f t="shared" si="13"/>
        <v>9.6767427876685991E-3</v>
      </c>
      <c r="Z36" s="1">
        <f t="shared" si="13"/>
        <v>6.2517671445931266E-3</v>
      </c>
      <c r="AA36" s="1">
        <f t="shared" si="3"/>
        <v>0.13169445026866855</v>
      </c>
    </row>
    <row r="37" spans="1:28" x14ac:dyDescent="0.25">
      <c r="A37">
        <v>12</v>
      </c>
      <c r="B37" t="s">
        <v>37</v>
      </c>
      <c r="C37">
        <v>239057</v>
      </c>
      <c r="E37" t="s">
        <v>58</v>
      </c>
      <c r="F37" s="1">
        <f t="shared" ref="F37:Z37" si="14">F14/$E14</f>
        <v>3.522252815769062E-2</v>
      </c>
      <c r="G37" s="1">
        <f t="shared" si="14"/>
        <v>3.7915303086361068E-2</v>
      </c>
      <c r="H37" s="1">
        <f t="shared" si="14"/>
        <v>7.7996143218856229E-2</v>
      </c>
      <c r="I37" s="1">
        <f t="shared" si="14"/>
        <v>2.5994938377837104E-2</v>
      </c>
      <c r="J37" s="1">
        <f t="shared" si="14"/>
        <v>1.8355148378442075E-2</v>
      </c>
      <c r="K37" s="1">
        <f t="shared" si="14"/>
        <v>1.1375985138458368E-2</v>
      </c>
      <c r="L37" s="1">
        <f t="shared" si="14"/>
        <v>1.5133522058535812E-2</v>
      </c>
      <c r="M37" s="1">
        <f t="shared" si="14"/>
        <v>1.2770312712014169E-2</v>
      </c>
      <c r="N37" s="1">
        <f t="shared" si="14"/>
        <v>1.161855274761866E-2</v>
      </c>
      <c r="O37" s="1">
        <f t="shared" si="14"/>
        <v>1.1237502857085203E-2</v>
      </c>
      <c r="P37" s="1">
        <f t="shared" si="14"/>
        <v>1.6641261982312857E-2</v>
      </c>
      <c r="Q37" s="1">
        <f t="shared" si="14"/>
        <v>3.474370131620793E-2</v>
      </c>
      <c r="R37" s="2">
        <f t="shared" si="14"/>
        <v>0.42362786585856121</v>
      </c>
      <c r="S37" s="1">
        <f t="shared" si="14"/>
        <v>6.1045123691782173E-2</v>
      </c>
      <c r="T37" s="1">
        <f t="shared" si="14"/>
        <v>1.7887815799539516E-2</v>
      </c>
      <c r="U37" s="1">
        <f t="shared" si="14"/>
        <v>1.1114872727899065E-2</v>
      </c>
      <c r="V37" s="1">
        <f t="shared" si="14"/>
        <v>2.349347303998545E-2</v>
      </c>
      <c r="W37" s="1">
        <f t="shared" si="14"/>
        <v>0.10114342804014408</v>
      </c>
      <c r="X37" s="1">
        <f t="shared" si="14"/>
        <v>3.0073758317675586E-2</v>
      </c>
      <c r="Y37" s="1">
        <f t="shared" si="14"/>
        <v>1.5210097684359901E-2</v>
      </c>
      <c r="Z37" s="1">
        <f t="shared" si="14"/>
        <v>7.3986648086329402E-3</v>
      </c>
      <c r="AA37" s="1">
        <f t="shared" si="3"/>
        <v>0.10114342804014408</v>
      </c>
    </row>
    <row r="38" spans="1:28" x14ac:dyDescent="0.25">
      <c r="A38">
        <v>13</v>
      </c>
      <c r="B38" t="s">
        <v>38</v>
      </c>
      <c r="C38">
        <v>93810</v>
      </c>
      <c r="E38" t="s">
        <v>59</v>
      </c>
      <c r="F38" s="1">
        <f t="shared" ref="F38:Z38" si="15">F15/$E15</f>
        <v>2.4357386499364659E-2</v>
      </c>
      <c r="G38" s="1">
        <f t="shared" si="15"/>
        <v>1.4487078951839026E-2</v>
      </c>
      <c r="H38" s="1">
        <f t="shared" si="15"/>
        <v>0.10971101309882067</v>
      </c>
      <c r="I38" s="1">
        <f t="shared" si="15"/>
        <v>5.7577280819307478E-2</v>
      </c>
      <c r="J38" s="1">
        <f t="shared" si="15"/>
        <v>2.4019750318906369E-2</v>
      </c>
      <c r="K38" s="1">
        <f t="shared" si="15"/>
        <v>1.0862818199738992E-2</v>
      </c>
      <c r="L38" s="1">
        <f t="shared" si="15"/>
        <v>1.6813387210461439E-2</v>
      </c>
      <c r="M38" s="1">
        <f t="shared" si="15"/>
        <v>1.4316986660832802E-2</v>
      </c>
      <c r="N38" s="1">
        <f t="shared" si="15"/>
        <v>1.1560252779146492E-2</v>
      </c>
      <c r="O38" s="1">
        <f t="shared" si="15"/>
        <v>8.2917566246353928E-3</v>
      </c>
      <c r="P38" s="1">
        <f t="shared" si="15"/>
        <v>1.1131834380977814E-2</v>
      </c>
      <c r="Q38" s="1">
        <f t="shared" si="15"/>
        <v>9.4956478102645944E-3</v>
      </c>
      <c r="R38" s="1">
        <f t="shared" si="15"/>
        <v>0.14201518713199893</v>
      </c>
      <c r="S38" s="2">
        <f t="shared" si="15"/>
        <v>0.27626683408488234</v>
      </c>
      <c r="T38" s="1">
        <f t="shared" si="15"/>
        <v>8.4685388867810116E-2</v>
      </c>
      <c r="U38" s="1">
        <f t="shared" si="15"/>
        <v>1.4404499797837797E-2</v>
      </c>
      <c r="V38" s="1">
        <f t="shared" si="15"/>
        <v>6.9799557474307626E-3</v>
      </c>
      <c r="W38" s="1">
        <f t="shared" si="15"/>
        <v>4.1578825581722274E-2</v>
      </c>
      <c r="X38" s="1">
        <f t="shared" si="15"/>
        <v>6.633646126657998E-2</v>
      </c>
      <c r="Y38" s="1">
        <f t="shared" si="15"/>
        <v>4.6366377258713114E-2</v>
      </c>
      <c r="Z38" s="1">
        <f t="shared" si="15"/>
        <v>8.7412769087289819E-3</v>
      </c>
      <c r="AA38" s="1">
        <f t="shared" si="3"/>
        <v>0.14201518713199893</v>
      </c>
    </row>
    <row r="39" spans="1:28" x14ac:dyDescent="0.25">
      <c r="A39">
        <v>14</v>
      </c>
      <c r="B39" t="s">
        <v>39</v>
      </c>
      <c r="C39">
        <v>216818</v>
      </c>
      <c r="E39" t="s">
        <v>60</v>
      </c>
      <c r="F39" s="1">
        <f t="shared" ref="F39:Z39" si="16">F16/$E16</f>
        <v>3.1156986026824998E-2</v>
      </c>
      <c r="G39" s="1">
        <f t="shared" si="16"/>
        <v>1.283773394249923E-2</v>
      </c>
      <c r="H39" s="1">
        <f t="shared" si="16"/>
        <v>2.8433452174828639E-2</v>
      </c>
      <c r="I39" s="1">
        <f t="shared" si="16"/>
        <v>0.10577966991846374</v>
      </c>
      <c r="J39" s="1">
        <f t="shared" si="16"/>
        <v>8.109322849572069E-2</v>
      </c>
      <c r="K39" s="1">
        <f t="shared" si="16"/>
        <v>1.8745189081723207E-2</v>
      </c>
      <c r="L39" s="1">
        <f t="shared" si="16"/>
        <v>3.0351379154098943E-2</v>
      </c>
      <c r="M39" s="1">
        <f t="shared" si="16"/>
        <v>2.8225830105397948E-2</v>
      </c>
      <c r="N39" s="1">
        <f t="shared" si="16"/>
        <v>1.7111551894188202E-2</v>
      </c>
      <c r="O39" s="1">
        <f t="shared" si="16"/>
        <v>8.576875414665867E-3</v>
      </c>
      <c r="P39" s="1">
        <f t="shared" si="16"/>
        <v>1.0233592950187248E-2</v>
      </c>
      <c r="Q39" s="1">
        <f t="shared" si="16"/>
        <v>7.5490816236970905E-3</v>
      </c>
      <c r="R39" s="1">
        <f t="shared" si="16"/>
        <v>1.7379837120692198E-2</v>
      </c>
      <c r="S39" s="1">
        <f t="shared" si="16"/>
        <v>3.5604781286710907E-2</v>
      </c>
      <c r="T39" s="2">
        <f t="shared" si="16"/>
        <v>0.33699235925106691</v>
      </c>
      <c r="U39" s="1">
        <f t="shared" si="16"/>
        <v>7.024596884286323E-2</v>
      </c>
      <c r="V39" s="1">
        <f t="shared" si="16"/>
        <v>6.862913625121295E-3</v>
      </c>
      <c r="W39" s="1">
        <f t="shared" si="16"/>
        <v>8.6095482261679228E-3</v>
      </c>
      <c r="X39" s="1">
        <f t="shared" si="16"/>
        <v>1.2220113947919942E-2</v>
      </c>
      <c r="Y39" s="1">
        <f t="shared" si="16"/>
        <v>0.11471885900357666</v>
      </c>
      <c r="Z39" s="1">
        <f t="shared" si="16"/>
        <v>1.7271047913585167E-2</v>
      </c>
      <c r="AA39" s="1">
        <f t="shared" si="3"/>
        <v>0.11471885900357666</v>
      </c>
    </row>
    <row r="40" spans="1:28" x14ac:dyDescent="0.25">
      <c r="A40">
        <v>15</v>
      </c>
      <c r="B40" t="s">
        <v>40</v>
      </c>
      <c r="C40">
        <v>193228</v>
      </c>
      <c r="E40" t="s">
        <v>61</v>
      </c>
      <c r="F40" s="1">
        <f t="shared" ref="F40:Z40" si="17">F17/$E17</f>
        <v>1.8424059969017557E-2</v>
      </c>
      <c r="G40" s="1">
        <f t="shared" si="17"/>
        <v>9.9239677529986726E-3</v>
      </c>
      <c r="H40" s="1">
        <f t="shared" si="17"/>
        <v>1.4261145273411947E-2</v>
      </c>
      <c r="I40" s="1">
        <f t="shared" si="17"/>
        <v>2.8146994621379769E-2</v>
      </c>
      <c r="J40" s="1">
        <f t="shared" si="17"/>
        <v>7.5422335609848137E-2</v>
      </c>
      <c r="K40" s="1">
        <f t="shared" si="17"/>
        <v>2.4075886117807772E-2</v>
      </c>
      <c r="L40" s="1">
        <f t="shared" si="17"/>
        <v>2.0545372610765882E-2</v>
      </c>
      <c r="M40" s="1">
        <f t="shared" si="17"/>
        <v>9.1089502734357633E-2</v>
      </c>
      <c r="N40" s="1">
        <f t="shared" si="17"/>
        <v>1.4132808540623081E-2</v>
      </c>
      <c r="O40" s="1">
        <f t="shared" si="17"/>
        <v>7.7521169293401143E-3</v>
      </c>
      <c r="P40" s="1">
        <f t="shared" si="17"/>
        <v>8.1301955175051462E-3</v>
      </c>
      <c r="Q40" s="1">
        <f t="shared" si="17"/>
        <v>5.5943396589442944E-3</v>
      </c>
      <c r="R40" s="1">
        <f t="shared" si="17"/>
        <v>1.1033662828565771E-2</v>
      </c>
      <c r="S40" s="1">
        <f t="shared" si="17"/>
        <v>5.8243825823619151E-3</v>
      </c>
      <c r="T40" s="1">
        <f t="shared" si="17"/>
        <v>7.3091061559808962E-2</v>
      </c>
      <c r="U40" s="2">
        <f t="shared" si="17"/>
        <v>0.4599706421378536</v>
      </c>
      <c r="V40" s="1">
        <f t="shared" si="17"/>
        <v>5.830369452351312E-3</v>
      </c>
      <c r="W40" s="1">
        <f t="shared" si="17"/>
        <v>7.3706305387291832E-3</v>
      </c>
      <c r="X40" s="1">
        <f t="shared" si="17"/>
        <v>6.9216454626224643E-3</v>
      </c>
      <c r="Y40" s="1">
        <f t="shared" si="17"/>
        <v>5.6109404874809331E-2</v>
      </c>
      <c r="Z40" s="1">
        <f t="shared" si="17"/>
        <v>5.6349475226897386E-2</v>
      </c>
      <c r="AA40" s="1">
        <f t="shared" si="3"/>
        <v>9.1089502734357633E-2</v>
      </c>
    </row>
    <row r="41" spans="1:28" x14ac:dyDescent="0.25">
      <c r="A41">
        <v>16</v>
      </c>
      <c r="B41" t="s">
        <v>41</v>
      </c>
      <c r="C41">
        <v>154808</v>
      </c>
      <c r="E41" t="s">
        <v>62</v>
      </c>
      <c r="F41" s="1">
        <f t="shared" ref="F41:Z41" si="18">F18/$E18</f>
        <v>3.6787007769123102E-2</v>
      </c>
      <c r="G41" s="1">
        <f t="shared" si="18"/>
        <v>3.869049011575916E-2</v>
      </c>
      <c r="H41" s="1">
        <f t="shared" si="18"/>
        <v>1.9981298896436281E-2</v>
      </c>
      <c r="I41" s="1">
        <f t="shared" si="18"/>
        <v>1.8610753053508219E-2</v>
      </c>
      <c r="J41" s="1">
        <f t="shared" si="18"/>
        <v>2.0446037723798865E-2</v>
      </c>
      <c r="K41" s="1">
        <f t="shared" si="18"/>
        <v>1.1502310908682091E-2</v>
      </c>
      <c r="L41" s="1">
        <f t="shared" si="18"/>
        <v>1.6694728265372043E-2</v>
      </c>
      <c r="M41" s="1">
        <f t="shared" si="18"/>
        <v>1.4425134845862553E-2</v>
      </c>
      <c r="N41" s="1">
        <f t="shared" si="18"/>
        <v>1.6109519533975668E-2</v>
      </c>
      <c r="O41" s="1">
        <f t="shared" si="18"/>
        <v>2.1065849128010128E-2</v>
      </c>
      <c r="P41" s="1">
        <f t="shared" si="18"/>
        <v>5.7135647325096336E-2</v>
      </c>
      <c r="Q41" s="1">
        <f t="shared" si="18"/>
        <v>0.10367239404938161</v>
      </c>
      <c r="R41" s="1">
        <f t="shared" si="18"/>
        <v>4.5387223467664807E-2</v>
      </c>
      <c r="S41" s="1">
        <f t="shared" si="18"/>
        <v>5.7451866987595244E-3</v>
      </c>
      <c r="T41" s="1">
        <f t="shared" si="18"/>
        <v>1.3005140879374167E-2</v>
      </c>
      <c r="U41" s="1">
        <f t="shared" si="18"/>
        <v>1.0678427570317331E-2</v>
      </c>
      <c r="V41" s="2">
        <f t="shared" si="18"/>
        <v>0.48040006995515189</v>
      </c>
      <c r="W41" s="1">
        <f t="shared" si="18"/>
        <v>4.1340961154930508E-2</v>
      </c>
      <c r="X41" s="1">
        <f t="shared" si="18"/>
        <v>9.0063195707935483E-3</v>
      </c>
      <c r="Y41" s="1">
        <f t="shared" si="18"/>
        <v>1.1778933935420382E-2</v>
      </c>
      <c r="Z41" s="1">
        <f t="shared" si="18"/>
        <v>7.536565152581695E-3</v>
      </c>
      <c r="AA41" s="1">
        <f t="shared" si="3"/>
        <v>0.10367239404938161</v>
      </c>
    </row>
    <row r="42" spans="1:28" x14ac:dyDescent="0.25">
      <c r="A42">
        <v>17</v>
      </c>
      <c r="B42" t="s">
        <v>42</v>
      </c>
      <c r="C42">
        <v>114733</v>
      </c>
      <c r="E42" t="s">
        <v>63</v>
      </c>
      <c r="F42" s="1">
        <f t="shared" ref="F42:Z42" si="19">F19/$E19</f>
        <v>2.2220756374103097E-2</v>
      </c>
      <c r="G42" s="1">
        <f t="shared" si="19"/>
        <v>1.7451180450631244E-2</v>
      </c>
      <c r="H42" s="1">
        <f t="shared" si="19"/>
        <v>2.3561784086158971E-2</v>
      </c>
      <c r="I42" s="1">
        <f t="shared" si="19"/>
        <v>1.9723450409149169E-2</v>
      </c>
      <c r="J42" s="1">
        <f t="shared" si="19"/>
        <v>1.4307929828899052E-2</v>
      </c>
      <c r="K42" s="1">
        <f t="shared" si="19"/>
        <v>8.958329917125394E-3</v>
      </c>
      <c r="L42" s="1">
        <f t="shared" si="19"/>
        <v>1.1413755451621691E-2</v>
      </c>
      <c r="M42" s="1">
        <f t="shared" si="19"/>
        <v>1.2506736343773153E-2</v>
      </c>
      <c r="N42" s="1">
        <f t="shared" si="19"/>
        <v>8.6629725647518214E-3</v>
      </c>
      <c r="O42" s="1">
        <f t="shared" si="19"/>
        <v>1.0299872591438166E-2</v>
      </c>
      <c r="P42" s="1">
        <f t="shared" si="19"/>
        <v>1.4570533081918831E-2</v>
      </c>
      <c r="Q42" s="1">
        <f t="shared" si="19"/>
        <v>1.3825621178746954E-2</v>
      </c>
      <c r="R42" s="1">
        <f t="shared" si="19"/>
        <v>0.17363004563306542</v>
      </c>
      <c r="S42" s="1">
        <f t="shared" si="19"/>
        <v>3.1022281783901252E-2</v>
      </c>
      <c r="T42" s="1">
        <f t="shared" si="19"/>
        <v>1.5571247236576309E-2</v>
      </c>
      <c r="U42" s="1">
        <f t="shared" si="19"/>
        <v>1.2761665659238849E-2</v>
      </c>
      <c r="V42" s="1">
        <f t="shared" si="19"/>
        <v>3.674942852413525E-2</v>
      </c>
      <c r="W42" s="2">
        <f t="shared" si="19"/>
        <v>0.39828595342761514</v>
      </c>
      <c r="X42" s="1">
        <f t="shared" si="19"/>
        <v>0.12765617019631784</v>
      </c>
      <c r="Y42" s="1">
        <f t="shared" si="19"/>
        <v>1.8608181150578953E-2</v>
      </c>
      <c r="Z42" s="1">
        <f t="shared" si="19"/>
        <v>8.212104110253457E-3</v>
      </c>
      <c r="AA42" s="1">
        <f t="shared" si="3"/>
        <v>0.17363004563306542</v>
      </c>
    </row>
    <row r="43" spans="1:28" x14ac:dyDescent="0.25">
      <c r="A43">
        <v>18</v>
      </c>
      <c r="B43" t="s">
        <v>43</v>
      </c>
      <c r="C43">
        <v>75485</v>
      </c>
      <c r="E43" t="s">
        <v>64</v>
      </c>
      <c r="F43" s="1">
        <f t="shared" ref="F43:Z43" si="20">F20/$E20</f>
        <v>2.0304469247013957E-2</v>
      </c>
      <c r="G43" s="1">
        <f t="shared" si="20"/>
        <v>1.424997190512582E-2</v>
      </c>
      <c r="H43" s="1">
        <f t="shared" si="20"/>
        <v>2.8377306460120513E-2</v>
      </c>
      <c r="I43" s="1">
        <f t="shared" si="20"/>
        <v>2.9945191212901907E-2</v>
      </c>
      <c r="J43" s="1">
        <f t="shared" si="20"/>
        <v>2.0232440887323858E-2</v>
      </c>
      <c r="K43" s="1">
        <f t="shared" si="20"/>
        <v>1.0174446351413579E-2</v>
      </c>
      <c r="L43" s="1">
        <f t="shared" si="20"/>
        <v>1.3501054427780891E-2</v>
      </c>
      <c r="M43" s="1">
        <f t="shared" si="20"/>
        <v>1.5635375992077226E-2</v>
      </c>
      <c r="N43" s="1">
        <f t="shared" si="20"/>
        <v>1.1104785162434364E-2</v>
      </c>
      <c r="O43" s="1">
        <f t="shared" si="20"/>
        <v>9.8963689367491774E-3</v>
      </c>
      <c r="P43" s="1">
        <f t="shared" si="20"/>
        <v>1.211165040847109E-2</v>
      </c>
      <c r="Q43" s="1">
        <f t="shared" si="20"/>
        <v>9.1251525564783297E-3</v>
      </c>
      <c r="R43" s="1">
        <f t="shared" si="20"/>
        <v>7.9890526015514093E-2</v>
      </c>
      <c r="S43" s="1">
        <f t="shared" si="20"/>
        <v>7.8881157601066204E-2</v>
      </c>
      <c r="T43" s="1">
        <f t="shared" si="20"/>
        <v>3.3566307638373441E-2</v>
      </c>
      <c r="U43" s="1">
        <f t="shared" si="20"/>
        <v>1.8965214214248682E-2</v>
      </c>
      <c r="V43" s="1">
        <f t="shared" si="20"/>
        <v>1.1881600202649563E-2</v>
      </c>
      <c r="W43" s="1">
        <f t="shared" si="20"/>
        <v>0.20118605723426375</v>
      </c>
      <c r="X43" s="2">
        <f t="shared" si="20"/>
        <v>0.23667032115244427</v>
      </c>
      <c r="Y43" s="1">
        <f t="shared" si="20"/>
        <v>0.12903088980337671</v>
      </c>
      <c r="Z43" s="1">
        <f t="shared" si="20"/>
        <v>1.5269712590172622E-2</v>
      </c>
      <c r="AA43" s="1">
        <f t="shared" si="3"/>
        <v>0.20118605723426375</v>
      </c>
    </row>
    <row r="44" spans="1:28" x14ac:dyDescent="0.25">
      <c r="A44">
        <v>19</v>
      </c>
      <c r="B44" t="s">
        <v>44</v>
      </c>
      <c r="C44">
        <v>160258</v>
      </c>
      <c r="E44" t="s">
        <v>65</v>
      </c>
      <c r="F44" s="1">
        <f t="shared" ref="F44:Z44" si="21">F21/$E21</f>
        <v>1.9538469965546951E-2</v>
      </c>
      <c r="G44" s="1">
        <f t="shared" si="21"/>
        <v>1.0246295254032988E-2</v>
      </c>
      <c r="H44" s="1">
        <f t="shared" si="21"/>
        <v>1.6400610783364994E-2</v>
      </c>
      <c r="I44" s="1">
        <f t="shared" si="21"/>
        <v>3.2062508843861651E-2</v>
      </c>
      <c r="J44" s="1">
        <f t="shared" si="21"/>
        <v>2.6155081973883408E-2</v>
      </c>
      <c r="K44" s="1">
        <f t="shared" si="21"/>
        <v>1.2055740784650137E-2</v>
      </c>
      <c r="L44" s="1">
        <f t="shared" si="21"/>
        <v>2.1680155347227011E-2</v>
      </c>
      <c r="M44" s="1">
        <f t="shared" si="21"/>
        <v>2.0817526130368112E-2</v>
      </c>
      <c r="N44" s="1">
        <f t="shared" si="21"/>
        <v>1.6059592605222401E-2</v>
      </c>
      <c r="O44" s="1">
        <f t="shared" si="21"/>
        <v>7.8194662472060288E-3</v>
      </c>
      <c r="P44" s="1">
        <f t="shared" si="21"/>
        <v>9.9053256908338064E-3</v>
      </c>
      <c r="Q44" s="1">
        <f t="shared" si="21"/>
        <v>6.624038773392885E-3</v>
      </c>
      <c r="R44" s="1">
        <f t="shared" si="21"/>
        <v>1.7282316037854972E-2</v>
      </c>
      <c r="S44" s="1">
        <f t="shared" si="21"/>
        <v>2.2907612743220829E-2</v>
      </c>
      <c r="T44" s="1">
        <f t="shared" si="21"/>
        <v>0.14053533492403378</v>
      </c>
      <c r="U44" s="1">
        <f t="shared" si="21"/>
        <v>6.3598842171989439E-2</v>
      </c>
      <c r="V44" s="1">
        <f t="shared" si="21"/>
        <v>7.2115736732741064E-3</v>
      </c>
      <c r="W44" s="1">
        <f t="shared" si="21"/>
        <v>1.2723813330882855E-2</v>
      </c>
      <c r="X44" s="1">
        <f t="shared" si="21"/>
        <v>5.3112237924918856E-2</v>
      </c>
      <c r="Y44" s="2">
        <f t="shared" si="21"/>
        <v>0.41866902153723207</v>
      </c>
      <c r="Z44" s="1">
        <f t="shared" si="21"/>
        <v>6.4594435257002647E-2</v>
      </c>
      <c r="AA44" s="1">
        <f t="shared" si="3"/>
        <v>0.14053533492403378</v>
      </c>
    </row>
    <row r="45" spans="1:28" x14ac:dyDescent="0.25">
      <c r="A45">
        <v>20</v>
      </c>
      <c r="B45" t="s">
        <v>45</v>
      </c>
      <c r="C45">
        <v>50077</v>
      </c>
      <c r="E45" t="s">
        <v>66</v>
      </c>
      <c r="F45" s="1">
        <f t="shared" ref="F45:Z45" si="22">F22/$E22</f>
        <v>2.1992072052863396E-2</v>
      </c>
      <c r="G45" s="1">
        <f t="shared" si="22"/>
        <v>1.2204857742090808E-2</v>
      </c>
      <c r="H45" s="1">
        <f t="shared" si="22"/>
        <v>1.7086044352669957E-2</v>
      </c>
      <c r="I45" s="1">
        <f t="shared" si="22"/>
        <v>2.3962485423105633E-2</v>
      </c>
      <c r="J45" s="1">
        <f t="shared" si="22"/>
        <v>3.8225997753824396E-2</v>
      </c>
      <c r="K45" s="1">
        <f t="shared" si="22"/>
        <v>1.6807927836501604E-2</v>
      </c>
      <c r="L45" s="1">
        <f t="shared" si="22"/>
        <v>1.9416567989953462E-2</v>
      </c>
      <c r="M45" s="1">
        <f t="shared" si="22"/>
        <v>2.7127456266537828E-2</v>
      </c>
      <c r="N45" s="1">
        <f t="shared" si="22"/>
        <v>1.2366084612997043E-2</v>
      </c>
      <c r="O45" s="1">
        <f t="shared" si="22"/>
        <v>1.0705632671223375E-2</v>
      </c>
      <c r="P45" s="1">
        <f t="shared" si="22"/>
        <v>1.1250355865436662E-2</v>
      </c>
      <c r="Q45" s="1">
        <f t="shared" si="22"/>
        <v>8.2166041240681435E-3</v>
      </c>
      <c r="R45" s="1">
        <f t="shared" si="22"/>
        <v>1.5743918314857778E-2</v>
      </c>
      <c r="S45" s="1">
        <f t="shared" si="22"/>
        <v>7.8476889390067459E-3</v>
      </c>
      <c r="T45" s="1">
        <f t="shared" si="22"/>
        <v>4.044596638427541E-2</v>
      </c>
      <c r="U45" s="1">
        <f t="shared" si="22"/>
        <v>0.12806231807683643</v>
      </c>
      <c r="V45" s="1">
        <f t="shared" si="22"/>
        <v>8.6596263860010108E-3</v>
      </c>
      <c r="W45" s="1">
        <f t="shared" si="22"/>
        <v>1.0550751580894083E-2</v>
      </c>
      <c r="X45" s="1">
        <f t="shared" si="22"/>
        <v>1.255653536991475E-2</v>
      </c>
      <c r="Y45" s="1">
        <f t="shared" si="22"/>
        <v>0.12831835937759348</v>
      </c>
      <c r="Z45" s="2">
        <f t="shared" si="22"/>
        <v>0.42845274887934809</v>
      </c>
      <c r="AA45" s="1">
        <f t="shared" si="3"/>
        <v>0.12831835937759348</v>
      </c>
    </row>
    <row r="46" spans="1:28" x14ac:dyDescent="0.25"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8" spans="1:28" x14ac:dyDescent="0.25">
      <c r="A48" t="s">
        <v>22</v>
      </c>
      <c r="B48" t="s">
        <v>23</v>
      </c>
      <c r="C48" t="s">
        <v>24</v>
      </c>
      <c r="F48" t="s">
        <v>46</v>
      </c>
      <c r="G48" t="s">
        <v>47</v>
      </c>
      <c r="H48" t="s">
        <v>48</v>
      </c>
      <c r="I48" t="s">
        <v>49</v>
      </c>
      <c r="J48" t="s">
        <v>50</v>
      </c>
      <c r="K48" t="s">
        <v>51</v>
      </c>
      <c r="L48" t="s">
        <v>52</v>
      </c>
      <c r="M48" t="s">
        <v>53</v>
      </c>
      <c r="N48" t="s">
        <v>54</v>
      </c>
      <c r="O48" t="s">
        <v>55</v>
      </c>
      <c r="P48" t="s">
        <v>56</v>
      </c>
      <c r="Q48" t="s">
        <v>57</v>
      </c>
      <c r="R48" t="s">
        <v>58</v>
      </c>
      <c r="S48" t="s">
        <v>59</v>
      </c>
      <c r="T48" t="s">
        <v>60</v>
      </c>
      <c r="U48" t="s">
        <v>61</v>
      </c>
      <c r="V48" t="s">
        <v>62</v>
      </c>
      <c r="W48" t="s">
        <v>63</v>
      </c>
      <c r="X48" t="s">
        <v>64</v>
      </c>
      <c r="Y48" t="s">
        <v>65</v>
      </c>
      <c r="Z48" t="s">
        <v>66</v>
      </c>
      <c r="AB48" t="s">
        <v>67</v>
      </c>
    </row>
    <row r="49" spans="1:28" x14ac:dyDescent="0.25">
      <c r="A49">
        <v>0</v>
      </c>
      <c r="B49" t="s">
        <v>25</v>
      </c>
      <c r="C49">
        <v>141236</v>
      </c>
      <c r="E49" t="s">
        <v>46</v>
      </c>
      <c r="F49">
        <f>ROUND(F25*$C49, 0)</f>
        <v>44260</v>
      </c>
      <c r="G49">
        <f t="shared" ref="G49:Z49" si="23">ROUND(G25*$C49, 0)</f>
        <v>12496</v>
      </c>
      <c r="H49">
        <f t="shared" si="23"/>
        <v>8400</v>
      </c>
      <c r="I49">
        <f t="shared" si="23"/>
        <v>7056</v>
      </c>
      <c r="J49">
        <f t="shared" si="23"/>
        <v>4905</v>
      </c>
      <c r="K49">
        <f t="shared" si="23"/>
        <v>4468</v>
      </c>
      <c r="L49">
        <f t="shared" si="23"/>
        <v>14320</v>
      </c>
      <c r="M49">
        <f t="shared" si="23"/>
        <v>3184</v>
      </c>
      <c r="N49">
        <f t="shared" si="23"/>
        <v>8407</v>
      </c>
      <c r="O49">
        <f t="shared" si="23"/>
        <v>6212</v>
      </c>
      <c r="P49">
        <f t="shared" si="23"/>
        <v>5607</v>
      </c>
      <c r="Q49">
        <f t="shared" si="23"/>
        <v>3208</v>
      </c>
      <c r="R49">
        <f t="shared" si="23"/>
        <v>3999</v>
      </c>
      <c r="S49">
        <f t="shared" si="23"/>
        <v>1240</v>
      </c>
      <c r="T49">
        <f t="shared" si="23"/>
        <v>3604</v>
      </c>
      <c r="U49">
        <f t="shared" si="23"/>
        <v>2085</v>
      </c>
      <c r="V49">
        <f t="shared" si="23"/>
        <v>2210</v>
      </c>
      <c r="W49">
        <f t="shared" si="23"/>
        <v>1405</v>
      </c>
      <c r="X49">
        <f t="shared" si="23"/>
        <v>857</v>
      </c>
      <c r="Y49">
        <f t="shared" si="23"/>
        <v>2060</v>
      </c>
      <c r="Z49">
        <f t="shared" si="23"/>
        <v>1252</v>
      </c>
      <c r="AA49">
        <f>SUM(F49:Z49)</f>
        <v>141235</v>
      </c>
      <c r="AB49">
        <f>C49-AA49</f>
        <v>1</v>
      </c>
    </row>
    <row r="50" spans="1:28" x14ac:dyDescent="0.25">
      <c r="A50">
        <v>1</v>
      </c>
      <c r="B50" t="s">
        <v>26</v>
      </c>
      <c r="C50">
        <v>154243</v>
      </c>
      <c r="E50" t="s">
        <v>47</v>
      </c>
      <c r="F50">
        <f t="shared" ref="F50:Z50" si="24">ROUND(F26*$C50, 0)</f>
        <v>20174</v>
      </c>
      <c r="G50">
        <f t="shared" si="24"/>
        <v>46291</v>
      </c>
      <c r="H50">
        <f t="shared" si="24"/>
        <v>10220</v>
      </c>
      <c r="I50">
        <f t="shared" si="24"/>
        <v>4617</v>
      </c>
      <c r="J50">
        <f t="shared" si="24"/>
        <v>3807</v>
      </c>
      <c r="K50">
        <f t="shared" si="24"/>
        <v>2327</v>
      </c>
      <c r="L50">
        <f t="shared" si="24"/>
        <v>4707</v>
      </c>
      <c r="M50">
        <f t="shared" si="24"/>
        <v>2356</v>
      </c>
      <c r="N50">
        <f t="shared" si="24"/>
        <v>5026</v>
      </c>
      <c r="O50">
        <f t="shared" si="24"/>
        <v>5874</v>
      </c>
      <c r="P50">
        <f t="shared" si="24"/>
        <v>13697</v>
      </c>
      <c r="Q50">
        <f t="shared" si="24"/>
        <v>13389</v>
      </c>
      <c r="R50">
        <f t="shared" si="24"/>
        <v>6758</v>
      </c>
      <c r="S50">
        <f t="shared" si="24"/>
        <v>1194</v>
      </c>
      <c r="T50">
        <f t="shared" si="24"/>
        <v>2470</v>
      </c>
      <c r="U50">
        <f t="shared" si="24"/>
        <v>1808</v>
      </c>
      <c r="V50">
        <f t="shared" si="24"/>
        <v>3715</v>
      </c>
      <c r="W50">
        <f t="shared" si="24"/>
        <v>1901</v>
      </c>
      <c r="X50">
        <f t="shared" si="24"/>
        <v>1015</v>
      </c>
      <c r="Y50">
        <f t="shared" si="24"/>
        <v>1801</v>
      </c>
      <c r="Z50">
        <f t="shared" si="24"/>
        <v>1096</v>
      </c>
      <c r="AA50">
        <f t="shared" ref="AA50:AA69" si="25">SUM(F50:Z50)</f>
        <v>154243</v>
      </c>
      <c r="AB50">
        <f t="shared" ref="AB50:AB69" si="26">C50-AA50</f>
        <v>0</v>
      </c>
    </row>
    <row r="51" spans="1:28" x14ac:dyDescent="0.25">
      <c r="A51">
        <v>2</v>
      </c>
      <c r="B51" t="s">
        <v>27</v>
      </c>
      <c r="C51">
        <v>118557</v>
      </c>
      <c r="E51" t="s">
        <v>48</v>
      </c>
      <c r="F51">
        <f t="shared" ref="F51:Z51" si="27">ROUND(F27*$C51, 0)</f>
        <v>11024</v>
      </c>
      <c r="G51">
        <f t="shared" si="27"/>
        <v>8396</v>
      </c>
      <c r="H51">
        <f t="shared" si="27"/>
        <v>30886</v>
      </c>
      <c r="I51">
        <f t="shared" si="27"/>
        <v>12814</v>
      </c>
      <c r="J51">
        <f t="shared" si="27"/>
        <v>4187</v>
      </c>
      <c r="K51">
        <f t="shared" si="27"/>
        <v>2333</v>
      </c>
      <c r="L51">
        <f t="shared" si="27"/>
        <v>3666</v>
      </c>
      <c r="M51">
        <f t="shared" si="27"/>
        <v>2088</v>
      </c>
      <c r="N51">
        <f t="shared" si="27"/>
        <v>2200</v>
      </c>
      <c r="O51">
        <f t="shared" si="27"/>
        <v>1996</v>
      </c>
      <c r="P51">
        <f t="shared" si="27"/>
        <v>2392</v>
      </c>
      <c r="Q51">
        <f t="shared" si="27"/>
        <v>1928</v>
      </c>
      <c r="R51">
        <f t="shared" si="27"/>
        <v>12135</v>
      </c>
      <c r="S51">
        <f t="shared" si="27"/>
        <v>7304</v>
      </c>
      <c r="T51">
        <f t="shared" si="27"/>
        <v>4301</v>
      </c>
      <c r="U51">
        <f t="shared" si="27"/>
        <v>2031</v>
      </c>
      <c r="V51">
        <f t="shared" si="27"/>
        <v>1647</v>
      </c>
      <c r="W51">
        <f t="shared" si="27"/>
        <v>2112</v>
      </c>
      <c r="X51">
        <f t="shared" si="27"/>
        <v>1768</v>
      </c>
      <c r="Y51">
        <f t="shared" si="27"/>
        <v>2189</v>
      </c>
      <c r="Z51">
        <f t="shared" si="27"/>
        <v>1160</v>
      </c>
      <c r="AA51">
        <f t="shared" si="25"/>
        <v>118557</v>
      </c>
      <c r="AB51">
        <f t="shared" si="26"/>
        <v>0</v>
      </c>
    </row>
    <row r="52" spans="1:28" x14ac:dyDescent="0.25">
      <c r="A52">
        <v>3</v>
      </c>
      <c r="B52" t="s">
        <v>28</v>
      </c>
      <c r="C52">
        <v>146016</v>
      </c>
      <c r="E52" t="s">
        <v>49</v>
      </c>
      <c r="F52">
        <f t="shared" ref="F52:Z52" si="28">ROUND(F28*$C52, 0)</f>
        <v>9048</v>
      </c>
      <c r="G52">
        <f t="shared" si="28"/>
        <v>3312</v>
      </c>
      <c r="H52">
        <f t="shared" si="28"/>
        <v>12345</v>
      </c>
      <c r="I52">
        <f t="shared" si="28"/>
        <v>43351</v>
      </c>
      <c r="J52">
        <f t="shared" si="28"/>
        <v>13158</v>
      </c>
      <c r="K52">
        <f t="shared" si="28"/>
        <v>4078</v>
      </c>
      <c r="L52">
        <f t="shared" si="28"/>
        <v>11072</v>
      </c>
      <c r="M52">
        <f t="shared" si="28"/>
        <v>3635</v>
      </c>
      <c r="N52">
        <f t="shared" si="28"/>
        <v>3201</v>
      </c>
      <c r="O52">
        <f t="shared" si="28"/>
        <v>2243</v>
      </c>
      <c r="P52">
        <f t="shared" si="28"/>
        <v>2340</v>
      </c>
      <c r="Q52">
        <f t="shared" si="28"/>
        <v>1692</v>
      </c>
      <c r="R52">
        <f t="shared" si="28"/>
        <v>3659</v>
      </c>
      <c r="S52">
        <f t="shared" si="28"/>
        <v>3553</v>
      </c>
      <c r="T52">
        <f t="shared" si="28"/>
        <v>15251</v>
      </c>
      <c r="U52">
        <f t="shared" si="28"/>
        <v>3925</v>
      </c>
      <c r="V52">
        <f t="shared" si="28"/>
        <v>1369</v>
      </c>
      <c r="W52">
        <f t="shared" si="28"/>
        <v>1561</v>
      </c>
      <c r="X52">
        <f t="shared" si="28"/>
        <v>1586</v>
      </c>
      <c r="Y52">
        <f t="shared" si="28"/>
        <v>4056</v>
      </c>
      <c r="Z52">
        <f t="shared" si="28"/>
        <v>1582</v>
      </c>
      <c r="AA52">
        <f t="shared" si="25"/>
        <v>146017</v>
      </c>
      <c r="AB52">
        <f t="shared" si="26"/>
        <v>-1</v>
      </c>
    </row>
    <row r="53" spans="1:28" x14ac:dyDescent="0.25">
      <c r="A53">
        <v>4</v>
      </c>
      <c r="B53" t="s">
        <v>29</v>
      </c>
      <c r="C53">
        <v>145700</v>
      </c>
      <c r="E53" t="s">
        <v>50</v>
      </c>
      <c r="F53">
        <f t="shared" ref="F53:Z53" si="29">ROUND(F29*$C53, 0)</f>
        <v>5595</v>
      </c>
      <c r="G53">
        <f t="shared" si="29"/>
        <v>2545</v>
      </c>
      <c r="H53">
        <f t="shared" si="29"/>
        <v>3715</v>
      </c>
      <c r="I53">
        <f t="shared" si="29"/>
        <v>11840</v>
      </c>
      <c r="J53">
        <f t="shared" si="29"/>
        <v>42468</v>
      </c>
      <c r="K53">
        <f t="shared" si="29"/>
        <v>17669</v>
      </c>
      <c r="L53">
        <f t="shared" si="29"/>
        <v>8573</v>
      </c>
      <c r="M53">
        <f t="shared" si="29"/>
        <v>11469</v>
      </c>
      <c r="N53">
        <f t="shared" si="29"/>
        <v>3820</v>
      </c>
      <c r="O53">
        <f t="shared" si="29"/>
        <v>2289</v>
      </c>
      <c r="P53">
        <f t="shared" si="29"/>
        <v>1901</v>
      </c>
      <c r="Q53">
        <f t="shared" si="29"/>
        <v>1372</v>
      </c>
      <c r="R53">
        <f t="shared" si="29"/>
        <v>2395</v>
      </c>
      <c r="S53">
        <f t="shared" si="29"/>
        <v>1299</v>
      </c>
      <c r="T53">
        <f t="shared" si="29"/>
        <v>10648</v>
      </c>
      <c r="U53">
        <f t="shared" si="29"/>
        <v>9365</v>
      </c>
      <c r="V53">
        <f t="shared" si="29"/>
        <v>1388</v>
      </c>
      <c r="W53">
        <f t="shared" si="29"/>
        <v>1055</v>
      </c>
      <c r="X53">
        <f t="shared" si="29"/>
        <v>986</v>
      </c>
      <c r="Y53">
        <f t="shared" si="29"/>
        <v>3101</v>
      </c>
      <c r="Z53">
        <f t="shared" si="29"/>
        <v>2209</v>
      </c>
      <c r="AA53">
        <f t="shared" si="25"/>
        <v>145702</v>
      </c>
      <c r="AB53">
        <f t="shared" si="26"/>
        <v>-2</v>
      </c>
    </row>
    <row r="54" spans="1:28" x14ac:dyDescent="0.25">
      <c r="A54">
        <v>5</v>
      </c>
      <c r="B54" t="s">
        <v>30</v>
      </c>
      <c r="C54">
        <v>159849</v>
      </c>
      <c r="E54" t="s">
        <v>51</v>
      </c>
      <c r="F54">
        <f t="shared" ref="F54:Z54" si="30">ROUND(F30*$C54, 0)</f>
        <v>7731</v>
      </c>
      <c r="G54">
        <f t="shared" si="30"/>
        <v>2446</v>
      </c>
      <c r="H54">
        <f t="shared" si="30"/>
        <v>3005</v>
      </c>
      <c r="I54">
        <f t="shared" si="30"/>
        <v>5587</v>
      </c>
      <c r="J54">
        <f t="shared" si="30"/>
        <v>27689</v>
      </c>
      <c r="K54">
        <f t="shared" si="30"/>
        <v>44567</v>
      </c>
      <c r="L54">
        <f t="shared" si="30"/>
        <v>16055</v>
      </c>
      <c r="M54">
        <f t="shared" si="30"/>
        <v>19114</v>
      </c>
      <c r="N54">
        <f t="shared" si="30"/>
        <v>9712</v>
      </c>
      <c r="O54">
        <f t="shared" si="30"/>
        <v>2474</v>
      </c>
      <c r="P54">
        <f t="shared" si="30"/>
        <v>1971</v>
      </c>
      <c r="Q54">
        <f t="shared" si="30"/>
        <v>1198</v>
      </c>
      <c r="R54">
        <f t="shared" si="30"/>
        <v>2240</v>
      </c>
      <c r="S54">
        <f t="shared" si="30"/>
        <v>925</v>
      </c>
      <c r="T54">
        <f t="shared" si="30"/>
        <v>3787</v>
      </c>
      <c r="U54">
        <f t="shared" si="30"/>
        <v>4741</v>
      </c>
      <c r="V54">
        <f t="shared" si="30"/>
        <v>1206</v>
      </c>
      <c r="W54">
        <f t="shared" si="30"/>
        <v>986</v>
      </c>
      <c r="X54">
        <f t="shared" si="30"/>
        <v>745</v>
      </c>
      <c r="Y54">
        <f t="shared" si="30"/>
        <v>2135</v>
      </c>
      <c r="Z54">
        <f t="shared" si="30"/>
        <v>1535</v>
      </c>
      <c r="AA54">
        <f t="shared" si="25"/>
        <v>159849</v>
      </c>
      <c r="AB54">
        <f t="shared" si="26"/>
        <v>0</v>
      </c>
    </row>
    <row r="55" spans="1:28" x14ac:dyDescent="0.25">
      <c r="A55">
        <v>6</v>
      </c>
      <c r="B55" t="s">
        <v>31</v>
      </c>
      <c r="C55">
        <v>138667</v>
      </c>
      <c r="E55" t="s">
        <v>52</v>
      </c>
      <c r="F55">
        <f t="shared" ref="F55:Z55" si="31">ROUND(F31*$C55, 0)</f>
        <v>19258</v>
      </c>
      <c r="G55">
        <f t="shared" si="31"/>
        <v>3791</v>
      </c>
      <c r="H55">
        <f t="shared" si="31"/>
        <v>3524</v>
      </c>
      <c r="I55">
        <f t="shared" si="31"/>
        <v>10927</v>
      </c>
      <c r="J55">
        <f t="shared" si="31"/>
        <v>9760</v>
      </c>
      <c r="K55">
        <f t="shared" si="31"/>
        <v>11689</v>
      </c>
      <c r="L55">
        <f t="shared" si="31"/>
        <v>36647</v>
      </c>
      <c r="M55">
        <f t="shared" si="31"/>
        <v>5435</v>
      </c>
      <c r="N55">
        <f t="shared" si="31"/>
        <v>12500</v>
      </c>
      <c r="O55">
        <f t="shared" si="31"/>
        <v>3997</v>
      </c>
      <c r="P55">
        <f t="shared" si="31"/>
        <v>3034</v>
      </c>
      <c r="Q55">
        <f t="shared" si="31"/>
        <v>1542</v>
      </c>
      <c r="R55">
        <f t="shared" si="31"/>
        <v>2170</v>
      </c>
      <c r="S55">
        <f t="shared" si="31"/>
        <v>1027</v>
      </c>
      <c r="T55">
        <f t="shared" si="31"/>
        <v>4046</v>
      </c>
      <c r="U55">
        <f t="shared" si="31"/>
        <v>2752</v>
      </c>
      <c r="V55">
        <f t="shared" si="31"/>
        <v>1289</v>
      </c>
      <c r="W55">
        <f t="shared" si="31"/>
        <v>885</v>
      </c>
      <c r="X55">
        <f t="shared" si="31"/>
        <v>715</v>
      </c>
      <c r="Y55">
        <f t="shared" si="31"/>
        <v>2475</v>
      </c>
      <c r="Z55">
        <f t="shared" si="31"/>
        <v>1204</v>
      </c>
      <c r="AA55">
        <f t="shared" si="25"/>
        <v>138667</v>
      </c>
      <c r="AB55">
        <f t="shared" si="26"/>
        <v>0</v>
      </c>
    </row>
    <row r="56" spans="1:28" x14ac:dyDescent="0.25">
      <c r="A56">
        <v>7</v>
      </c>
      <c r="B56" t="s">
        <v>32</v>
      </c>
      <c r="C56">
        <v>247692</v>
      </c>
      <c r="E56" t="s">
        <v>53</v>
      </c>
      <c r="F56">
        <f t="shared" ref="F56:Z56" si="32">ROUND(F32*$C56, 0)</f>
        <v>5586</v>
      </c>
      <c r="G56">
        <f t="shared" si="32"/>
        <v>2505</v>
      </c>
      <c r="H56">
        <f t="shared" si="32"/>
        <v>2849</v>
      </c>
      <c r="I56">
        <f t="shared" si="32"/>
        <v>5167</v>
      </c>
      <c r="J56">
        <f t="shared" si="32"/>
        <v>17617</v>
      </c>
      <c r="K56">
        <f t="shared" si="32"/>
        <v>19296</v>
      </c>
      <c r="L56">
        <f t="shared" si="32"/>
        <v>7650</v>
      </c>
      <c r="M56">
        <f t="shared" si="32"/>
        <v>128916</v>
      </c>
      <c r="N56">
        <f t="shared" si="32"/>
        <v>13890</v>
      </c>
      <c r="O56">
        <f t="shared" si="32"/>
        <v>2687</v>
      </c>
      <c r="P56">
        <f t="shared" si="32"/>
        <v>2317</v>
      </c>
      <c r="Q56">
        <f t="shared" si="32"/>
        <v>1391</v>
      </c>
      <c r="R56">
        <f t="shared" si="32"/>
        <v>2529</v>
      </c>
      <c r="S56">
        <f t="shared" si="32"/>
        <v>1237</v>
      </c>
      <c r="T56">
        <f t="shared" si="32"/>
        <v>5658</v>
      </c>
      <c r="U56">
        <f t="shared" si="32"/>
        <v>17997</v>
      </c>
      <c r="V56">
        <f t="shared" si="32"/>
        <v>1535</v>
      </c>
      <c r="W56">
        <f t="shared" si="32"/>
        <v>1437</v>
      </c>
      <c r="X56">
        <f t="shared" si="32"/>
        <v>1131</v>
      </c>
      <c r="Y56">
        <f t="shared" si="32"/>
        <v>3700</v>
      </c>
      <c r="Z56">
        <f t="shared" si="32"/>
        <v>2596</v>
      </c>
      <c r="AA56">
        <f t="shared" si="25"/>
        <v>247691</v>
      </c>
      <c r="AB56">
        <f t="shared" si="26"/>
        <v>1</v>
      </c>
    </row>
    <row r="57" spans="1:28" x14ac:dyDescent="0.25">
      <c r="A57">
        <v>8</v>
      </c>
      <c r="B57" t="s">
        <v>33</v>
      </c>
      <c r="C57">
        <v>120834</v>
      </c>
      <c r="E57" t="s">
        <v>54</v>
      </c>
      <c r="F57">
        <f t="shared" ref="F57:Z57" si="33">ROUND(F33*$C57, 0)</f>
        <v>10357</v>
      </c>
      <c r="G57">
        <f t="shared" si="33"/>
        <v>3734</v>
      </c>
      <c r="H57">
        <f t="shared" si="33"/>
        <v>2044</v>
      </c>
      <c r="I57">
        <f t="shared" si="33"/>
        <v>3252</v>
      </c>
      <c r="J57">
        <f t="shared" si="33"/>
        <v>4435</v>
      </c>
      <c r="K57">
        <f t="shared" si="33"/>
        <v>7064</v>
      </c>
      <c r="L57">
        <f t="shared" si="33"/>
        <v>12396</v>
      </c>
      <c r="M57">
        <f t="shared" si="33"/>
        <v>10343</v>
      </c>
      <c r="N57">
        <f t="shared" si="33"/>
        <v>37766</v>
      </c>
      <c r="O57">
        <f t="shared" si="33"/>
        <v>12225</v>
      </c>
      <c r="P57">
        <f t="shared" si="33"/>
        <v>3926</v>
      </c>
      <c r="Q57">
        <f t="shared" si="33"/>
        <v>1512</v>
      </c>
      <c r="R57">
        <f t="shared" si="33"/>
        <v>1577</v>
      </c>
      <c r="S57">
        <f t="shared" si="33"/>
        <v>685</v>
      </c>
      <c r="T57">
        <f t="shared" si="33"/>
        <v>2337</v>
      </c>
      <c r="U57">
        <f t="shared" si="33"/>
        <v>2104</v>
      </c>
      <c r="V57">
        <f t="shared" si="33"/>
        <v>1182</v>
      </c>
      <c r="W57">
        <f t="shared" si="33"/>
        <v>673</v>
      </c>
      <c r="X57">
        <f t="shared" si="33"/>
        <v>555</v>
      </c>
      <c r="Y57">
        <f t="shared" si="33"/>
        <v>1765</v>
      </c>
      <c r="Z57">
        <f t="shared" si="33"/>
        <v>903</v>
      </c>
      <c r="AA57">
        <f t="shared" si="25"/>
        <v>120835</v>
      </c>
      <c r="AB57">
        <f t="shared" si="26"/>
        <v>-1</v>
      </c>
    </row>
    <row r="58" spans="1:28" x14ac:dyDescent="0.25">
      <c r="A58">
        <v>9</v>
      </c>
      <c r="B58" t="s">
        <v>34</v>
      </c>
      <c r="C58">
        <v>240155</v>
      </c>
      <c r="E58" t="s">
        <v>55</v>
      </c>
      <c r="F58">
        <f t="shared" ref="F58:Z58" si="34">ROUND(F34*$C58, 0)</f>
        <v>15146</v>
      </c>
      <c r="G58">
        <f t="shared" si="34"/>
        <v>8717</v>
      </c>
      <c r="H58">
        <f t="shared" si="34"/>
        <v>3797</v>
      </c>
      <c r="I58">
        <f t="shared" si="34"/>
        <v>4556</v>
      </c>
      <c r="J58">
        <f t="shared" si="34"/>
        <v>4974</v>
      </c>
      <c r="K58">
        <f t="shared" si="34"/>
        <v>3576</v>
      </c>
      <c r="L58">
        <f t="shared" si="34"/>
        <v>7482</v>
      </c>
      <c r="M58">
        <f t="shared" si="34"/>
        <v>3910</v>
      </c>
      <c r="N58">
        <f t="shared" si="34"/>
        <v>25049</v>
      </c>
      <c r="O58">
        <f t="shared" si="34"/>
        <v>98948</v>
      </c>
      <c r="P58">
        <f t="shared" si="34"/>
        <v>40979</v>
      </c>
      <c r="Q58">
        <f t="shared" si="34"/>
        <v>4953</v>
      </c>
      <c r="R58">
        <f t="shared" si="34"/>
        <v>3118</v>
      </c>
      <c r="S58">
        <f t="shared" si="34"/>
        <v>1106</v>
      </c>
      <c r="T58">
        <f t="shared" si="34"/>
        <v>2456</v>
      </c>
      <c r="U58">
        <f t="shared" si="34"/>
        <v>2094</v>
      </c>
      <c r="V58">
        <f t="shared" si="34"/>
        <v>3199</v>
      </c>
      <c r="W58">
        <f t="shared" si="34"/>
        <v>1691</v>
      </c>
      <c r="X58">
        <f t="shared" si="34"/>
        <v>1061</v>
      </c>
      <c r="Y58">
        <f t="shared" si="34"/>
        <v>1949</v>
      </c>
      <c r="Z58">
        <f t="shared" si="34"/>
        <v>1395</v>
      </c>
      <c r="AA58">
        <f t="shared" si="25"/>
        <v>240156</v>
      </c>
      <c r="AB58">
        <f t="shared" si="26"/>
        <v>-1</v>
      </c>
    </row>
    <row r="59" spans="1:28" x14ac:dyDescent="0.25">
      <c r="A59">
        <v>10</v>
      </c>
      <c r="B59" t="s">
        <v>35</v>
      </c>
      <c r="C59">
        <v>258633</v>
      </c>
      <c r="E59" t="s">
        <v>56</v>
      </c>
      <c r="F59">
        <f t="shared" ref="F59:Z59" si="35">ROUND(F35*$C59, 0)</f>
        <v>12349</v>
      </c>
      <c r="G59">
        <f t="shared" si="35"/>
        <v>18782</v>
      </c>
      <c r="H59">
        <f t="shared" si="35"/>
        <v>3781</v>
      </c>
      <c r="I59">
        <f t="shared" si="35"/>
        <v>4308</v>
      </c>
      <c r="J59">
        <f t="shared" si="35"/>
        <v>3697</v>
      </c>
      <c r="K59">
        <f t="shared" si="35"/>
        <v>2428</v>
      </c>
      <c r="L59">
        <f t="shared" si="35"/>
        <v>4914</v>
      </c>
      <c r="M59">
        <f t="shared" si="35"/>
        <v>2818</v>
      </c>
      <c r="N59">
        <f t="shared" si="35"/>
        <v>7161</v>
      </c>
      <c r="O59">
        <f t="shared" si="35"/>
        <v>37215</v>
      </c>
      <c r="P59">
        <f t="shared" si="35"/>
        <v>116595</v>
      </c>
      <c r="Q59">
        <f t="shared" si="35"/>
        <v>20113</v>
      </c>
      <c r="R59">
        <f t="shared" si="35"/>
        <v>4265</v>
      </c>
      <c r="S59">
        <f t="shared" si="35"/>
        <v>1285</v>
      </c>
      <c r="T59">
        <f t="shared" si="35"/>
        <v>2558</v>
      </c>
      <c r="U59">
        <f t="shared" si="35"/>
        <v>1979</v>
      </c>
      <c r="V59">
        <f t="shared" si="35"/>
        <v>7524</v>
      </c>
      <c r="W59">
        <f t="shared" si="35"/>
        <v>2064</v>
      </c>
      <c r="X59">
        <f t="shared" si="35"/>
        <v>1141</v>
      </c>
      <c r="Y59">
        <f t="shared" si="35"/>
        <v>2279</v>
      </c>
      <c r="Z59">
        <f t="shared" si="35"/>
        <v>1376</v>
      </c>
      <c r="AA59">
        <f t="shared" si="25"/>
        <v>258632</v>
      </c>
      <c r="AB59">
        <f t="shared" si="26"/>
        <v>1</v>
      </c>
    </row>
    <row r="60" spans="1:28" x14ac:dyDescent="0.25">
      <c r="A60">
        <v>11</v>
      </c>
      <c r="B60" t="s">
        <v>36</v>
      </c>
      <c r="C60">
        <v>142454</v>
      </c>
      <c r="E60" t="s">
        <v>57</v>
      </c>
      <c r="F60">
        <f t="shared" ref="F60:Z60" si="36">ROUND(F36*$C60, 0)</f>
        <v>6523</v>
      </c>
      <c r="G60">
        <f t="shared" si="36"/>
        <v>17485</v>
      </c>
      <c r="H60">
        <f t="shared" si="36"/>
        <v>2997</v>
      </c>
      <c r="I60">
        <f t="shared" si="36"/>
        <v>2752</v>
      </c>
      <c r="J60">
        <f t="shared" si="36"/>
        <v>2448</v>
      </c>
      <c r="K60">
        <f t="shared" si="36"/>
        <v>1406</v>
      </c>
      <c r="L60">
        <f t="shared" si="36"/>
        <v>2424</v>
      </c>
      <c r="M60">
        <f t="shared" si="36"/>
        <v>1476</v>
      </c>
      <c r="N60">
        <f t="shared" si="36"/>
        <v>2596</v>
      </c>
      <c r="O60">
        <f t="shared" si="36"/>
        <v>4498</v>
      </c>
      <c r="P60">
        <f t="shared" si="36"/>
        <v>18760</v>
      </c>
      <c r="Q60">
        <f t="shared" si="36"/>
        <v>49051</v>
      </c>
      <c r="R60">
        <f t="shared" si="36"/>
        <v>8154</v>
      </c>
      <c r="S60">
        <f t="shared" si="36"/>
        <v>966</v>
      </c>
      <c r="T60">
        <f t="shared" si="36"/>
        <v>1798</v>
      </c>
      <c r="U60">
        <f t="shared" si="36"/>
        <v>1267</v>
      </c>
      <c r="V60">
        <f t="shared" si="36"/>
        <v>12872</v>
      </c>
      <c r="W60">
        <f t="shared" si="36"/>
        <v>1924</v>
      </c>
      <c r="X60">
        <f t="shared" si="36"/>
        <v>787</v>
      </c>
      <c r="Y60">
        <f t="shared" si="36"/>
        <v>1378</v>
      </c>
      <c r="Z60">
        <f t="shared" si="36"/>
        <v>891</v>
      </c>
      <c r="AA60">
        <f t="shared" si="25"/>
        <v>142453</v>
      </c>
      <c r="AB60">
        <f t="shared" si="26"/>
        <v>1</v>
      </c>
    </row>
    <row r="61" spans="1:28" x14ac:dyDescent="0.25">
      <c r="A61">
        <v>12</v>
      </c>
      <c r="B61" t="s">
        <v>37</v>
      </c>
      <c r="C61">
        <v>239057</v>
      </c>
      <c r="E61" t="s">
        <v>58</v>
      </c>
      <c r="F61">
        <f t="shared" ref="F61:Z61" si="37">ROUND(F37*$C61, 0)</f>
        <v>8420</v>
      </c>
      <c r="G61">
        <f t="shared" si="37"/>
        <v>9064</v>
      </c>
      <c r="H61">
        <f t="shared" si="37"/>
        <v>18646</v>
      </c>
      <c r="I61">
        <f t="shared" si="37"/>
        <v>6214</v>
      </c>
      <c r="J61">
        <f t="shared" si="37"/>
        <v>4388</v>
      </c>
      <c r="K61">
        <f t="shared" si="37"/>
        <v>2720</v>
      </c>
      <c r="L61">
        <f t="shared" si="37"/>
        <v>3618</v>
      </c>
      <c r="M61">
        <f t="shared" si="37"/>
        <v>3053</v>
      </c>
      <c r="N61">
        <f t="shared" si="37"/>
        <v>2777</v>
      </c>
      <c r="O61">
        <f t="shared" si="37"/>
        <v>2686</v>
      </c>
      <c r="P61">
        <f t="shared" si="37"/>
        <v>3978</v>
      </c>
      <c r="Q61">
        <f t="shared" si="37"/>
        <v>8306</v>
      </c>
      <c r="R61">
        <f t="shared" si="37"/>
        <v>101271</v>
      </c>
      <c r="S61">
        <f t="shared" si="37"/>
        <v>14593</v>
      </c>
      <c r="T61">
        <f t="shared" si="37"/>
        <v>4276</v>
      </c>
      <c r="U61">
        <f t="shared" si="37"/>
        <v>2657</v>
      </c>
      <c r="V61">
        <f t="shared" si="37"/>
        <v>5616</v>
      </c>
      <c r="W61">
        <f t="shared" si="37"/>
        <v>24179</v>
      </c>
      <c r="X61">
        <f t="shared" si="37"/>
        <v>7189</v>
      </c>
      <c r="Y61">
        <f t="shared" si="37"/>
        <v>3636</v>
      </c>
      <c r="Z61">
        <f t="shared" si="37"/>
        <v>1769</v>
      </c>
      <c r="AA61">
        <f t="shared" si="25"/>
        <v>239056</v>
      </c>
      <c r="AB61">
        <f t="shared" si="26"/>
        <v>1</v>
      </c>
    </row>
    <row r="62" spans="1:28" x14ac:dyDescent="0.25">
      <c r="A62">
        <v>13</v>
      </c>
      <c r="B62" t="s">
        <v>38</v>
      </c>
      <c r="C62">
        <v>93810</v>
      </c>
      <c r="E62" t="s">
        <v>59</v>
      </c>
      <c r="F62">
        <f t="shared" ref="F62:Z62" si="38">ROUND(F38*$C62, 0)</f>
        <v>2285</v>
      </c>
      <c r="G62">
        <f t="shared" si="38"/>
        <v>1359</v>
      </c>
      <c r="H62">
        <f t="shared" si="38"/>
        <v>10292</v>
      </c>
      <c r="I62">
        <f t="shared" si="38"/>
        <v>5401</v>
      </c>
      <c r="J62">
        <f t="shared" si="38"/>
        <v>2253</v>
      </c>
      <c r="K62">
        <f t="shared" si="38"/>
        <v>1019</v>
      </c>
      <c r="L62">
        <f t="shared" si="38"/>
        <v>1577</v>
      </c>
      <c r="M62">
        <f t="shared" si="38"/>
        <v>1343</v>
      </c>
      <c r="N62">
        <f t="shared" si="38"/>
        <v>1084</v>
      </c>
      <c r="O62">
        <f t="shared" si="38"/>
        <v>778</v>
      </c>
      <c r="P62">
        <f t="shared" si="38"/>
        <v>1044</v>
      </c>
      <c r="Q62">
        <f t="shared" si="38"/>
        <v>891</v>
      </c>
      <c r="R62">
        <f t="shared" si="38"/>
        <v>13322</v>
      </c>
      <c r="S62">
        <f t="shared" si="38"/>
        <v>25917</v>
      </c>
      <c r="T62">
        <f t="shared" si="38"/>
        <v>7944</v>
      </c>
      <c r="U62">
        <f t="shared" si="38"/>
        <v>1351</v>
      </c>
      <c r="V62">
        <f t="shared" si="38"/>
        <v>655</v>
      </c>
      <c r="W62">
        <f t="shared" si="38"/>
        <v>3901</v>
      </c>
      <c r="X62">
        <f t="shared" si="38"/>
        <v>6223</v>
      </c>
      <c r="Y62">
        <f t="shared" si="38"/>
        <v>4350</v>
      </c>
      <c r="Z62">
        <f t="shared" si="38"/>
        <v>820</v>
      </c>
      <c r="AA62">
        <f t="shared" si="25"/>
        <v>93809</v>
      </c>
      <c r="AB62">
        <f t="shared" si="26"/>
        <v>1</v>
      </c>
    </row>
    <row r="63" spans="1:28" x14ac:dyDescent="0.25">
      <c r="A63">
        <v>14</v>
      </c>
      <c r="B63" t="s">
        <v>39</v>
      </c>
      <c r="C63">
        <v>216818</v>
      </c>
      <c r="E63" t="s">
        <v>60</v>
      </c>
      <c r="F63">
        <f t="shared" ref="F63:Z63" si="39">ROUND(F39*$C63, 0)</f>
        <v>6755</v>
      </c>
      <c r="G63">
        <f t="shared" si="39"/>
        <v>2783</v>
      </c>
      <c r="H63">
        <f t="shared" si="39"/>
        <v>6165</v>
      </c>
      <c r="I63">
        <f t="shared" si="39"/>
        <v>22935</v>
      </c>
      <c r="J63">
        <f t="shared" si="39"/>
        <v>17582</v>
      </c>
      <c r="K63">
        <f t="shared" si="39"/>
        <v>4064</v>
      </c>
      <c r="L63">
        <f t="shared" si="39"/>
        <v>6581</v>
      </c>
      <c r="M63">
        <f t="shared" si="39"/>
        <v>6120</v>
      </c>
      <c r="N63">
        <f t="shared" si="39"/>
        <v>3710</v>
      </c>
      <c r="O63">
        <f t="shared" si="39"/>
        <v>1860</v>
      </c>
      <c r="P63">
        <f t="shared" si="39"/>
        <v>2219</v>
      </c>
      <c r="Q63">
        <f t="shared" si="39"/>
        <v>1637</v>
      </c>
      <c r="R63">
        <f t="shared" si="39"/>
        <v>3768</v>
      </c>
      <c r="S63">
        <f t="shared" si="39"/>
        <v>7720</v>
      </c>
      <c r="T63">
        <f t="shared" si="39"/>
        <v>73066</v>
      </c>
      <c r="U63">
        <f t="shared" si="39"/>
        <v>15231</v>
      </c>
      <c r="V63">
        <f t="shared" si="39"/>
        <v>1488</v>
      </c>
      <c r="W63">
        <f t="shared" si="39"/>
        <v>1867</v>
      </c>
      <c r="X63">
        <f t="shared" si="39"/>
        <v>2650</v>
      </c>
      <c r="Y63">
        <f t="shared" si="39"/>
        <v>24873</v>
      </c>
      <c r="Z63">
        <f t="shared" si="39"/>
        <v>3745</v>
      </c>
      <c r="AA63">
        <f t="shared" si="25"/>
        <v>216819</v>
      </c>
      <c r="AB63">
        <f t="shared" si="26"/>
        <v>-1</v>
      </c>
    </row>
    <row r="64" spans="1:28" x14ac:dyDescent="0.25">
      <c r="A64">
        <v>15</v>
      </c>
      <c r="B64" t="s">
        <v>40</v>
      </c>
      <c r="C64">
        <v>193228</v>
      </c>
      <c r="E64" t="s">
        <v>61</v>
      </c>
      <c r="F64">
        <f t="shared" ref="F64:Z64" si="40">ROUND(F40*$C64, 0)</f>
        <v>3560</v>
      </c>
      <c r="G64">
        <f t="shared" si="40"/>
        <v>1918</v>
      </c>
      <c r="H64">
        <f t="shared" si="40"/>
        <v>2756</v>
      </c>
      <c r="I64">
        <f t="shared" si="40"/>
        <v>5439</v>
      </c>
      <c r="J64">
        <f t="shared" si="40"/>
        <v>14574</v>
      </c>
      <c r="K64">
        <f t="shared" si="40"/>
        <v>4652</v>
      </c>
      <c r="L64">
        <f t="shared" si="40"/>
        <v>3970</v>
      </c>
      <c r="M64">
        <f t="shared" si="40"/>
        <v>17601</v>
      </c>
      <c r="N64">
        <f t="shared" si="40"/>
        <v>2731</v>
      </c>
      <c r="O64">
        <f t="shared" si="40"/>
        <v>1498</v>
      </c>
      <c r="P64">
        <f t="shared" si="40"/>
        <v>1571</v>
      </c>
      <c r="Q64">
        <f t="shared" si="40"/>
        <v>1081</v>
      </c>
      <c r="R64">
        <f t="shared" si="40"/>
        <v>2132</v>
      </c>
      <c r="S64">
        <f t="shared" si="40"/>
        <v>1125</v>
      </c>
      <c r="T64">
        <f t="shared" si="40"/>
        <v>14123</v>
      </c>
      <c r="U64">
        <f t="shared" si="40"/>
        <v>88879</v>
      </c>
      <c r="V64">
        <f t="shared" si="40"/>
        <v>1127</v>
      </c>
      <c r="W64">
        <f t="shared" si="40"/>
        <v>1424</v>
      </c>
      <c r="X64">
        <f t="shared" si="40"/>
        <v>1337</v>
      </c>
      <c r="Y64">
        <f t="shared" si="40"/>
        <v>10842</v>
      </c>
      <c r="Z64">
        <f t="shared" si="40"/>
        <v>10888</v>
      </c>
      <c r="AA64">
        <f t="shared" si="25"/>
        <v>193228</v>
      </c>
      <c r="AB64">
        <f t="shared" si="26"/>
        <v>0</v>
      </c>
    </row>
    <row r="65" spans="1:28" x14ac:dyDescent="0.25">
      <c r="A65">
        <v>16</v>
      </c>
      <c r="B65" t="s">
        <v>41</v>
      </c>
      <c r="C65">
        <v>154808</v>
      </c>
      <c r="E65" t="s">
        <v>62</v>
      </c>
      <c r="F65">
        <f t="shared" ref="F65:Z65" si="41">ROUND(F41*$C65, 0)</f>
        <v>5695</v>
      </c>
      <c r="G65">
        <f t="shared" si="41"/>
        <v>5990</v>
      </c>
      <c r="H65">
        <f t="shared" si="41"/>
        <v>3093</v>
      </c>
      <c r="I65">
        <f t="shared" si="41"/>
        <v>2881</v>
      </c>
      <c r="J65">
        <f t="shared" si="41"/>
        <v>3165</v>
      </c>
      <c r="K65">
        <f t="shared" si="41"/>
        <v>1781</v>
      </c>
      <c r="L65">
        <f t="shared" si="41"/>
        <v>2584</v>
      </c>
      <c r="M65">
        <f t="shared" si="41"/>
        <v>2233</v>
      </c>
      <c r="N65">
        <f t="shared" si="41"/>
        <v>2494</v>
      </c>
      <c r="O65">
        <f t="shared" si="41"/>
        <v>3261</v>
      </c>
      <c r="P65">
        <f t="shared" si="41"/>
        <v>8845</v>
      </c>
      <c r="Q65">
        <f t="shared" si="41"/>
        <v>16049</v>
      </c>
      <c r="R65">
        <f t="shared" si="41"/>
        <v>7026</v>
      </c>
      <c r="S65">
        <f t="shared" si="41"/>
        <v>889</v>
      </c>
      <c r="T65">
        <f t="shared" si="41"/>
        <v>2013</v>
      </c>
      <c r="U65">
        <f t="shared" si="41"/>
        <v>1653</v>
      </c>
      <c r="V65">
        <f t="shared" si="41"/>
        <v>74370</v>
      </c>
      <c r="W65">
        <f t="shared" si="41"/>
        <v>6400</v>
      </c>
      <c r="X65">
        <f t="shared" si="41"/>
        <v>1394</v>
      </c>
      <c r="Y65">
        <f t="shared" si="41"/>
        <v>1823</v>
      </c>
      <c r="Z65">
        <f t="shared" si="41"/>
        <v>1167</v>
      </c>
      <c r="AA65">
        <f t="shared" si="25"/>
        <v>154806</v>
      </c>
      <c r="AB65">
        <f t="shared" si="26"/>
        <v>2</v>
      </c>
    </row>
    <row r="66" spans="1:28" x14ac:dyDescent="0.25">
      <c r="A66">
        <v>17</v>
      </c>
      <c r="B66" t="s">
        <v>42</v>
      </c>
      <c r="C66">
        <v>114733</v>
      </c>
      <c r="E66" t="s">
        <v>63</v>
      </c>
      <c r="F66">
        <f t="shared" ref="F66:Z66" si="42">ROUND(F42*$C66, 0)</f>
        <v>2549</v>
      </c>
      <c r="G66">
        <f t="shared" si="42"/>
        <v>2002</v>
      </c>
      <c r="H66">
        <f t="shared" si="42"/>
        <v>2703</v>
      </c>
      <c r="I66">
        <f t="shared" si="42"/>
        <v>2263</v>
      </c>
      <c r="J66">
        <f t="shared" si="42"/>
        <v>1642</v>
      </c>
      <c r="K66">
        <f t="shared" si="42"/>
        <v>1028</v>
      </c>
      <c r="L66">
        <f t="shared" si="42"/>
        <v>1310</v>
      </c>
      <c r="M66">
        <f t="shared" si="42"/>
        <v>1435</v>
      </c>
      <c r="N66">
        <f t="shared" si="42"/>
        <v>994</v>
      </c>
      <c r="O66">
        <f t="shared" si="42"/>
        <v>1182</v>
      </c>
      <c r="P66">
        <f t="shared" si="42"/>
        <v>1672</v>
      </c>
      <c r="Q66">
        <f t="shared" si="42"/>
        <v>1586</v>
      </c>
      <c r="R66">
        <f t="shared" si="42"/>
        <v>19921</v>
      </c>
      <c r="S66">
        <f t="shared" si="42"/>
        <v>3559</v>
      </c>
      <c r="T66">
        <f t="shared" si="42"/>
        <v>1787</v>
      </c>
      <c r="U66">
        <f t="shared" si="42"/>
        <v>1464</v>
      </c>
      <c r="V66">
        <f t="shared" si="42"/>
        <v>4216</v>
      </c>
      <c r="W66">
        <f t="shared" si="42"/>
        <v>45697</v>
      </c>
      <c r="X66">
        <f t="shared" si="42"/>
        <v>14646</v>
      </c>
      <c r="Y66">
        <f t="shared" si="42"/>
        <v>2135</v>
      </c>
      <c r="Z66">
        <f t="shared" si="42"/>
        <v>942</v>
      </c>
      <c r="AA66">
        <f t="shared" si="25"/>
        <v>114733</v>
      </c>
      <c r="AB66">
        <f t="shared" si="26"/>
        <v>0</v>
      </c>
    </row>
    <row r="67" spans="1:28" x14ac:dyDescent="0.25">
      <c r="A67">
        <v>18</v>
      </c>
      <c r="B67" t="s">
        <v>43</v>
      </c>
      <c r="C67">
        <v>75485</v>
      </c>
      <c r="E67" t="s">
        <v>64</v>
      </c>
      <c r="F67">
        <f t="shared" ref="F67:Z67" si="43">ROUND(F43*$C67, 0)</f>
        <v>1533</v>
      </c>
      <c r="G67">
        <f t="shared" si="43"/>
        <v>1076</v>
      </c>
      <c r="H67">
        <f t="shared" si="43"/>
        <v>2142</v>
      </c>
      <c r="I67">
        <f t="shared" si="43"/>
        <v>2260</v>
      </c>
      <c r="J67">
        <f t="shared" si="43"/>
        <v>1527</v>
      </c>
      <c r="K67">
        <f t="shared" si="43"/>
        <v>768</v>
      </c>
      <c r="L67">
        <f t="shared" si="43"/>
        <v>1019</v>
      </c>
      <c r="M67">
        <f t="shared" si="43"/>
        <v>1180</v>
      </c>
      <c r="N67">
        <f t="shared" si="43"/>
        <v>838</v>
      </c>
      <c r="O67">
        <f t="shared" si="43"/>
        <v>747</v>
      </c>
      <c r="P67">
        <f t="shared" si="43"/>
        <v>914</v>
      </c>
      <c r="Q67">
        <f t="shared" si="43"/>
        <v>689</v>
      </c>
      <c r="R67">
        <f t="shared" si="43"/>
        <v>6031</v>
      </c>
      <c r="S67">
        <f t="shared" si="43"/>
        <v>5954</v>
      </c>
      <c r="T67">
        <f t="shared" si="43"/>
        <v>2534</v>
      </c>
      <c r="U67">
        <f t="shared" si="43"/>
        <v>1432</v>
      </c>
      <c r="V67">
        <f t="shared" si="43"/>
        <v>897</v>
      </c>
      <c r="W67">
        <f t="shared" si="43"/>
        <v>15187</v>
      </c>
      <c r="X67">
        <f t="shared" si="43"/>
        <v>17865</v>
      </c>
      <c r="Y67">
        <f t="shared" si="43"/>
        <v>9740</v>
      </c>
      <c r="Z67">
        <f t="shared" si="43"/>
        <v>1153</v>
      </c>
      <c r="AA67">
        <f t="shared" si="25"/>
        <v>75486</v>
      </c>
      <c r="AB67">
        <f t="shared" si="26"/>
        <v>-1</v>
      </c>
    </row>
    <row r="68" spans="1:28" x14ac:dyDescent="0.25">
      <c r="A68">
        <v>19</v>
      </c>
      <c r="B68" t="s">
        <v>44</v>
      </c>
      <c r="C68">
        <v>160258</v>
      </c>
      <c r="E68" t="s">
        <v>65</v>
      </c>
      <c r="F68">
        <f t="shared" ref="F68:Z68" si="44">ROUND(F44*$C68, 0)</f>
        <v>3131</v>
      </c>
      <c r="G68">
        <f t="shared" si="44"/>
        <v>1642</v>
      </c>
      <c r="H68">
        <f t="shared" si="44"/>
        <v>2628</v>
      </c>
      <c r="I68">
        <f t="shared" si="44"/>
        <v>5138</v>
      </c>
      <c r="J68">
        <f t="shared" si="44"/>
        <v>4192</v>
      </c>
      <c r="K68">
        <f t="shared" si="44"/>
        <v>1932</v>
      </c>
      <c r="L68">
        <f t="shared" si="44"/>
        <v>3474</v>
      </c>
      <c r="M68">
        <f t="shared" si="44"/>
        <v>3336</v>
      </c>
      <c r="N68">
        <f t="shared" si="44"/>
        <v>2574</v>
      </c>
      <c r="O68">
        <f t="shared" si="44"/>
        <v>1253</v>
      </c>
      <c r="P68">
        <f t="shared" si="44"/>
        <v>1587</v>
      </c>
      <c r="Q68">
        <f t="shared" si="44"/>
        <v>1062</v>
      </c>
      <c r="R68">
        <f t="shared" si="44"/>
        <v>2770</v>
      </c>
      <c r="S68">
        <f t="shared" si="44"/>
        <v>3671</v>
      </c>
      <c r="T68">
        <f t="shared" si="44"/>
        <v>22522</v>
      </c>
      <c r="U68">
        <f t="shared" si="44"/>
        <v>10192</v>
      </c>
      <c r="V68">
        <f t="shared" si="44"/>
        <v>1156</v>
      </c>
      <c r="W68">
        <f t="shared" si="44"/>
        <v>2039</v>
      </c>
      <c r="X68">
        <f t="shared" si="44"/>
        <v>8512</v>
      </c>
      <c r="Y68">
        <f t="shared" si="44"/>
        <v>67095</v>
      </c>
      <c r="Z68">
        <f t="shared" si="44"/>
        <v>10352</v>
      </c>
      <c r="AA68">
        <f t="shared" si="25"/>
        <v>160258</v>
      </c>
      <c r="AB68">
        <f t="shared" si="26"/>
        <v>0</v>
      </c>
    </row>
    <row r="69" spans="1:28" x14ac:dyDescent="0.25">
      <c r="A69">
        <v>20</v>
      </c>
      <c r="B69" t="s">
        <v>45</v>
      </c>
      <c r="C69">
        <v>50077</v>
      </c>
      <c r="E69" t="s">
        <v>66</v>
      </c>
      <c r="F69">
        <f t="shared" ref="F69:Z69" si="45">ROUND(F45*$C69, 0)</f>
        <v>1101</v>
      </c>
      <c r="G69">
        <f t="shared" si="45"/>
        <v>611</v>
      </c>
      <c r="H69">
        <f t="shared" si="45"/>
        <v>856</v>
      </c>
      <c r="I69">
        <f t="shared" si="45"/>
        <v>1200</v>
      </c>
      <c r="J69">
        <f t="shared" si="45"/>
        <v>1914</v>
      </c>
      <c r="K69">
        <f t="shared" si="45"/>
        <v>842</v>
      </c>
      <c r="L69">
        <f t="shared" si="45"/>
        <v>972</v>
      </c>
      <c r="M69">
        <f t="shared" si="45"/>
        <v>1358</v>
      </c>
      <c r="N69">
        <f t="shared" si="45"/>
        <v>619</v>
      </c>
      <c r="O69">
        <f t="shared" si="45"/>
        <v>536</v>
      </c>
      <c r="P69">
        <f t="shared" si="45"/>
        <v>563</v>
      </c>
      <c r="Q69">
        <f t="shared" si="45"/>
        <v>411</v>
      </c>
      <c r="R69">
        <f t="shared" si="45"/>
        <v>788</v>
      </c>
      <c r="S69">
        <f t="shared" si="45"/>
        <v>393</v>
      </c>
      <c r="T69">
        <f t="shared" si="45"/>
        <v>2025</v>
      </c>
      <c r="U69">
        <f t="shared" si="45"/>
        <v>6413</v>
      </c>
      <c r="V69">
        <f t="shared" si="45"/>
        <v>434</v>
      </c>
      <c r="W69">
        <f t="shared" si="45"/>
        <v>528</v>
      </c>
      <c r="X69">
        <f t="shared" si="45"/>
        <v>629</v>
      </c>
      <c r="Y69">
        <f t="shared" si="45"/>
        <v>6426</v>
      </c>
      <c r="Z69">
        <f t="shared" si="45"/>
        <v>21456</v>
      </c>
      <c r="AA69">
        <f t="shared" si="25"/>
        <v>50075</v>
      </c>
      <c r="AB69">
        <f t="shared" si="26"/>
        <v>2</v>
      </c>
    </row>
    <row r="71" spans="1:28" x14ac:dyDescent="0.25">
      <c r="A71" t="s">
        <v>22</v>
      </c>
      <c r="B71" t="s">
        <v>23</v>
      </c>
      <c r="C71" t="s">
        <v>24</v>
      </c>
      <c r="F71" t="s">
        <v>46</v>
      </c>
      <c r="G71" t="s">
        <v>47</v>
      </c>
      <c r="H71" t="s">
        <v>48</v>
      </c>
      <c r="I71" t="s">
        <v>49</v>
      </c>
      <c r="J71" t="s">
        <v>50</v>
      </c>
      <c r="K71" t="s">
        <v>51</v>
      </c>
      <c r="L71" t="s">
        <v>52</v>
      </c>
      <c r="M71" t="s">
        <v>53</v>
      </c>
      <c r="N71" t="s">
        <v>54</v>
      </c>
      <c r="O71" t="s">
        <v>55</v>
      </c>
      <c r="P71" t="s">
        <v>56</v>
      </c>
      <c r="Q71" t="s">
        <v>57</v>
      </c>
      <c r="R71" t="s">
        <v>58</v>
      </c>
      <c r="S71" t="s">
        <v>59</v>
      </c>
      <c r="T71" t="s">
        <v>60</v>
      </c>
      <c r="U71" t="s">
        <v>61</v>
      </c>
      <c r="V71" t="s">
        <v>62</v>
      </c>
      <c r="W71" t="s">
        <v>63</v>
      </c>
      <c r="X71" t="s">
        <v>64</v>
      </c>
      <c r="Y71" t="s">
        <v>65</v>
      </c>
      <c r="Z71" t="s">
        <v>66</v>
      </c>
    </row>
    <row r="72" spans="1:28" x14ac:dyDescent="0.25">
      <c r="A72">
        <v>0</v>
      </c>
      <c r="B72" t="s">
        <v>25</v>
      </c>
      <c r="C72">
        <v>141236</v>
      </c>
      <c r="E72" t="s">
        <v>46</v>
      </c>
      <c r="F72">
        <v>44261</v>
      </c>
      <c r="G72">
        <v>12496</v>
      </c>
      <c r="H72">
        <v>8400</v>
      </c>
      <c r="I72">
        <v>7056</v>
      </c>
      <c r="J72">
        <v>4905</v>
      </c>
      <c r="K72">
        <v>4468</v>
      </c>
      <c r="L72">
        <v>14320</v>
      </c>
      <c r="M72">
        <v>3184</v>
      </c>
      <c r="N72">
        <v>8407</v>
      </c>
      <c r="O72">
        <v>6212</v>
      </c>
      <c r="P72">
        <v>5607</v>
      </c>
      <c r="Q72">
        <v>3208</v>
      </c>
      <c r="R72">
        <v>3999</v>
      </c>
      <c r="S72">
        <v>1240</v>
      </c>
      <c r="T72">
        <v>3604</v>
      </c>
      <c r="U72">
        <v>2085</v>
      </c>
      <c r="V72">
        <v>2210</v>
      </c>
      <c r="W72">
        <v>1405</v>
      </c>
      <c r="X72">
        <v>857</v>
      </c>
      <c r="Y72">
        <v>2060</v>
      </c>
      <c r="Z72">
        <v>1252</v>
      </c>
      <c r="AA72">
        <f>SUM(F72:Z72)</f>
        <v>141236</v>
      </c>
      <c r="AB72">
        <f>C72-AA72</f>
        <v>0</v>
      </c>
    </row>
    <row r="73" spans="1:28" x14ac:dyDescent="0.25">
      <c r="A73">
        <v>1</v>
      </c>
      <c r="B73" t="s">
        <v>26</v>
      </c>
      <c r="C73">
        <v>154243</v>
      </c>
      <c r="E73" t="s">
        <v>47</v>
      </c>
      <c r="F73">
        <v>20174</v>
      </c>
      <c r="G73">
        <v>46291</v>
      </c>
      <c r="H73">
        <v>10220</v>
      </c>
      <c r="I73">
        <v>4617</v>
      </c>
      <c r="J73">
        <v>3807</v>
      </c>
      <c r="K73">
        <v>2327</v>
      </c>
      <c r="L73">
        <v>4707</v>
      </c>
      <c r="M73">
        <v>2356</v>
      </c>
      <c r="N73">
        <v>5026</v>
      </c>
      <c r="O73">
        <v>5874</v>
      </c>
      <c r="P73">
        <v>13697</v>
      </c>
      <c r="Q73">
        <v>13389</v>
      </c>
      <c r="R73">
        <v>6758</v>
      </c>
      <c r="S73">
        <v>1194</v>
      </c>
      <c r="T73">
        <v>2470</v>
      </c>
      <c r="U73">
        <v>1808</v>
      </c>
      <c r="V73">
        <v>3715</v>
      </c>
      <c r="W73">
        <v>1901</v>
      </c>
      <c r="X73">
        <v>1015</v>
      </c>
      <c r="Y73">
        <v>1801</v>
      </c>
      <c r="Z73">
        <v>1096</v>
      </c>
      <c r="AA73">
        <f t="shared" ref="AA73:AA92" si="46">SUM(F73:Z73)</f>
        <v>154243</v>
      </c>
      <c r="AB73">
        <f t="shared" ref="AB73:AB92" si="47">C73-AA73</f>
        <v>0</v>
      </c>
    </row>
    <row r="74" spans="1:28" x14ac:dyDescent="0.25">
      <c r="A74">
        <v>2</v>
      </c>
      <c r="B74" t="s">
        <v>27</v>
      </c>
      <c r="C74">
        <v>118557</v>
      </c>
      <c r="E74" t="s">
        <v>48</v>
      </c>
      <c r="F74">
        <v>11024</v>
      </c>
      <c r="G74">
        <v>8396</v>
      </c>
      <c r="H74">
        <v>30886</v>
      </c>
      <c r="I74">
        <v>12814</v>
      </c>
      <c r="J74">
        <v>4187</v>
      </c>
      <c r="K74">
        <v>2333</v>
      </c>
      <c r="L74">
        <v>3666</v>
      </c>
      <c r="M74">
        <v>2088</v>
      </c>
      <c r="N74">
        <v>2200</v>
      </c>
      <c r="O74">
        <v>1996</v>
      </c>
      <c r="P74">
        <v>2392</v>
      </c>
      <c r="Q74">
        <v>1928</v>
      </c>
      <c r="R74">
        <v>12135</v>
      </c>
      <c r="S74">
        <v>7304</v>
      </c>
      <c r="T74">
        <v>4301</v>
      </c>
      <c r="U74">
        <v>2031</v>
      </c>
      <c r="V74">
        <v>1647</v>
      </c>
      <c r="W74">
        <v>2112</v>
      </c>
      <c r="X74">
        <v>1768</v>
      </c>
      <c r="Y74">
        <v>2189</v>
      </c>
      <c r="Z74">
        <v>1160</v>
      </c>
      <c r="AA74">
        <f t="shared" si="46"/>
        <v>118557</v>
      </c>
      <c r="AB74">
        <f t="shared" si="47"/>
        <v>0</v>
      </c>
    </row>
    <row r="75" spans="1:28" x14ac:dyDescent="0.25">
      <c r="A75">
        <v>3</v>
      </c>
      <c r="B75" t="s">
        <v>28</v>
      </c>
      <c r="C75">
        <v>146016</v>
      </c>
      <c r="E75" t="s">
        <v>49</v>
      </c>
      <c r="F75">
        <v>9048</v>
      </c>
      <c r="G75">
        <v>3312</v>
      </c>
      <c r="H75">
        <v>12345</v>
      </c>
      <c r="I75">
        <v>43350</v>
      </c>
      <c r="J75">
        <v>13158</v>
      </c>
      <c r="K75">
        <v>4078</v>
      </c>
      <c r="L75">
        <v>11072</v>
      </c>
      <c r="M75">
        <v>3635</v>
      </c>
      <c r="N75">
        <v>3201</v>
      </c>
      <c r="O75">
        <v>2243</v>
      </c>
      <c r="P75">
        <v>2340</v>
      </c>
      <c r="Q75">
        <v>1692</v>
      </c>
      <c r="R75">
        <v>3659</v>
      </c>
      <c r="S75">
        <v>3553</v>
      </c>
      <c r="T75">
        <v>15251</v>
      </c>
      <c r="U75">
        <v>3925</v>
      </c>
      <c r="V75">
        <v>1369</v>
      </c>
      <c r="W75">
        <v>1561</v>
      </c>
      <c r="X75">
        <v>1586</v>
      </c>
      <c r="Y75">
        <v>4056</v>
      </c>
      <c r="Z75">
        <v>1582</v>
      </c>
      <c r="AA75">
        <f t="shared" si="46"/>
        <v>146016</v>
      </c>
      <c r="AB75">
        <f t="shared" si="47"/>
        <v>0</v>
      </c>
    </row>
    <row r="76" spans="1:28" x14ac:dyDescent="0.25">
      <c r="A76">
        <v>4</v>
      </c>
      <c r="B76" t="s">
        <v>29</v>
      </c>
      <c r="C76">
        <v>145700</v>
      </c>
      <c r="E76" t="s">
        <v>50</v>
      </c>
      <c r="F76">
        <v>5595</v>
      </c>
      <c r="G76">
        <v>2545</v>
      </c>
      <c r="H76">
        <v>3715</v>
      </c>
      <c r="I76">
        <v>11840</v>
      </c>
      <c r="J76">
        <v>42466</v>
      </c>
      <c r="K76">
        <v>17669</v>
      </c>
      <c r="L76">
        <v>8573</v>
      </c>
      <c r="M76">
        <v>11469</v>
      </c>
      <c r="N76">
        <v>3820</v>
      </c>
      <c r="O76">
        <v>2289</v>
      </c>
      <c r="P76">
        <v>1901</v>
      </c>
      <c r="Q76">
        <v>1372</v>
      </c>
      <c r="R76">
        <v>2395</v>
      </c>
      <c r="S76">
        <v>1299</v>
      </c>
      <c r="T76">
        <v>10648</v>
      </c>
      <c r="U76">
        <v>9365</v>
      </c>
      <c r="V76">
        <v>1388</v>
      </c>
      <c r="W76">
        <v>1055</v>
      </c>
      <c r="X76">
        <v>986</v>
      </c>
      <c r="Y76">
        <v>3101</v>
      </c>
      <c r="Z76">
        <v>2209</v>
      </c>
      <c r="AA76">
        <f t="shared" si="46"/>
        <v>145700</v>
      </c>
      <c r="AB76">
        <f t="shared" si="47"/>
        <v>0</v>
      </c>
    </row>
    <row r="77" spans="1:28" x14ac:dyDescent="0.25">
      <c r="A77">
        <v>5</v>
      </c>
      <c r="B77" t="s">
        <v>30</v>
      </c>
      <c r="C77">
        <v>159849</v>
      </c>
      <c r="E77" t="s">
        <v>51</v>
      </c>
      <c r="F77">
        <v>7731</v>
      </c>
      <c r="G77">
        <v>2446</v>
      </c>
      <c r="H77">
        <v>3005</v>
      </c>
      <c r="I77">
        <v>5587</v>
      </c>
      <c r="J77">
        <v>27689</v>
      </c>
      <c r="K77">
        <v>44567</v>
      </c>
      <c r="L77">
        <v>16055</v>
      </c>
      <c r="M77">
        <v>19114</v>
      </c>
      <c r="N77">
        <v>9712</v>
      </c>
      <c r="O77">
        <v>2474</v>
      </c>
      <c r="P77">
        <v>1971</v>
      </c>
      <c r="Q77">
        <v>1198</v>
      </c>
      <c r="R77">
        <v>2240</v>
      </c>
      <c r="S77">
        <v>925</v>
      </c>
      <c r="T77">
        <v>3787</v>
      </c>
      <c r="U77">
        <v>4741</v>
      </c>
      <c r="V77">
        <v>1206</v>
      </c>
      <c r="W77">
        <v>986</v>
      </c>
      <c r="X77">
        <v>745</v>
      </c>
      <c r="Y77">
        <v>2135</v>
      </c>
      <c r="Z77">
        <v>1535</v>
      </c>
      <c r="AA77">
        <f t="shared" si="46"/>
        <v>159849</v>
      </c>
      <c r="AB77">
        <f t="shared" si="47"/>
        <v>0</v>
      </c>
    </row>
    <row r="78" spans="1:28" x14ac:dyDescent="0.25">
      <c r="A78">
        <v>6</v>
      </c>
      <c r="B78" t="s">
        <v>31</v>
      </c>
      <c r="C78">
        <v>138667</v>
      </c>
      <c r="E78" t="s">
        <v>52</v>
      </c>
      <c r="F78">
        <v>19258</v>
      </c>
      <c r="G78">
        <v>3791</v>
      </c>
      <c r="H78">
        <v>3524</v>
      </c>
      <c r="I78">
        <v>10927</v>
      </c>
      <c r="J78">
        <v>9760</v>
      </c>
      <c r="K78">
        <v>11689</v>
      </c>
      <c r="L78">
        <v>36647</v>
      </c>
      <c r="M78">
        <v>5435</v>
      </c>
      <c r="N78">
        <v>12500</v>
      </c>
      <c r="O78">
        <v>3997</v>
      </c>
      <c r="P78">
        <v>3034</v>
      </c>
      <c r="Q78">
        <v>1542</v>
      </c>
      <c r="R78">
        <v>2170</v>
      </c>
      <c r="S78">
        <v>1027</v>
      </c>
      <c r="T78">
        <v>4046</v>
      </c>
      <c r="U78">
        <v>2752</v>
      </c>
      <c r="V78">
        <v>1289</v>
      </c>
      <c r="W78">
        <v>885</v>
      </c>
      <c r="X78">
        <v>715</v>
      </c>
      <c r="Y78">
        <v>2475</v>
      </c>
      <c r="Z78">
        <v>1204</v>
      </c>
      <c r="AA78">
        <f t="shared" si="46"/>
        <v>138667</v>
      </c>
      <c r="AB78">
        <f t="shared" si="47"/>
        <v>0</v>
      </c>
    </row>
    <row r="79" spans="1:28" x14ac:dyDescent="0.25">
      <c r="A79">
        <v>7</v>
      </c>
      <c r="B79" t="s">
        <v>32</v>
      </c>
      <c r="C79">
        <v>247692</v>
      </c>
      <c r="E79" t="s">
        <v>53</v>
      </c>
      <c r="F79">
        <v>5586</v>
      </c>
      <c r="G79">
        <v>2505</v>
      </c>
      <c r="H79">
        <v>2849</v>
      </c>
      <c r="I79">
        <v>5167</v>
      </c>
      <c r="J79">
        <v>17617</v>
      </c>
      <c r="K79">
        <v>19296</v>
      </c>
      <c r="L79">
        <v>7650</v>
      </c>
      <c r="M79">
        <v>128917</v>
      </c>
      <c r="N79">
        <v>13890</v>
      </c>
      <c r="O79">
        <v>2687</v>
      </c>
      <c r="P79">
        <v>2317</v>
      </c>
      <c r="Q79">
        <v>1391</v>
      </c>
      <c r="R79">
        <v>2529</v>
      </c>
      <c r="S79">
        <v>1237</v>
      </c>
      <c r="T79">
        <v>5658</v>
      </c>
      <c r="U79">
        <v>17997</v>
      </c>
      <c r="V79">
        <v>1535</v>
      </c>
      <c r="W79">
        <v>1437</v>
      </c>
      <c r="X79">
        <v>1131</v>
      </c>
      <c r="Y79">
        <v>3700</v>
      </c>
      <c r="Z79">
        <v>2596</v>
      </c>
      <c r="AA79">
        <f t="shared" si="46"/>
        <v>247692</v>
      </c>
      <c r="AB79">
        <f t="shared" si="47"/>
        <v>0</v>
      </c>
    </row>
    <row r="80" spans="1:28" x14ac:dyDescent="0.25">
      <c r="A80">
        <v>8</v>
      </c>
      <c r="B80" t="s">
        <v>33</v>
      </c>
      <c r="C80">
        <v>120834</v>
      </c>
      <c r="E80" t="s">
        <v>54</v>
      </c>
      <c r="F80">
        <v>10357</v>
      </c>
      <c r="G80">
        <v>3734</v>
      </c>
      <c r="H80">
        <v>2044</v>
      </c>
      <c r="I80">
        <v>3252</v>
      </c>
      <c r="J80">
        <v>4435</v>
      </c>
      <c r="K80">
        <v>7064</v>
      </c>
      <c r="L80">
        <v>12396</v>
      </c>
      <c r="M80">
        <v>10343</v>
      </c>
      <c r="N80">
        <v>37765</v>
      </c>
      <c r="O80">
        <v>12225</v>
      </c>
      <c r="P80">
        <v>3926</v>
      </c>
      <c r="Q80">
        <v>1512</v>
      </c>
      <c r="R80">
        <v>1577</v>
      </c>
      <c r="S80">
        <v>685</v>
      </c>
      <c r="T80">
        <v>2337</v>
      </c>
      <c r="U80">
        <v>2104</v>
      </c>
      <c r="V80">
        <v>1182</v>
      </c>
      <c r="W80">
        <v>673</v>
      </c>
      <c r="X80">
        <v>555</v>
      </c>
      <c r="Y80">
        <v>1765</v>
      </c>
      <c r="Z80">
        <v>903</v>
      </c>
      <c r="AA80">
        <f t="shared" si="46"/>
        <v>120834</v>
      </c>
      <c r="AB80">
        <f t="shared" si="47"/>
        <v>0</v>
      </c>
    </row>
    <row r="81" spans="1:28" x14ac:dyDescent="0.25">
      <c r="A81">
        <v>9</v>
      </c>
      <c r="B81" t="s">
        <v>34</v>
      </c>
      <c r="C81">
        <v>240155</v>
      </c>
      <c r="E81" t="s">
        <v>55</v>
      </c>
      <c r="F81">
        <v>15146</v>
      </c>
      <c r="G81">
        <v>8717</v>
      </c>
      <c r="H81">
        <v>3797</v>
      </c>
      <c r="I81">
        <v>4556</v>
      </c>
      <c r="J81">
        <v>4974</v>
      </c>
      <c r="K81">
        <v>3576</v>
      </c>
      <c r="L81">
        <v>7482</v>
      </c>
      <c r="M81">
        <v>3910</v>
      </c>
      <c r="N81">
        <v>25049</v>
      </c>
      <c r="O81">
        <v>98947</v>
      </c>
      <c r="P81">
        <v>40979</v>
      </c>
      <c r="Q81">
        <v>4953</v>
      </c>
      <c r="R81">
        <v>3118</v>
      </c>
      <c r="S81">
        <v>1106</v>
      </c>
      <c r="T81">
        <v>2456</v>
      </c>
      <c r="U81">
        <v>2094</v>
      </c>
      <c r="V81">
        <v>3199</v>
      </c>
      <c r="W81">
        <v>1691</v>
      </c>
      <c r="X81">
        <v>1061</v>
      </c>
      <c r="Y81">
        <v>1949</v>
      </c>
      <c r="Z81">
        <v>1395</v>
      </c>
      <c r="AA81">
        <f t="shared" si="46"/>
        <v>240155</v>
      </c>
      <c r="AB81">
        <f t="shared" si="47"/>
        <v>0</v>
      </c>
    </row>
    <row r="82" spans="1:28" x14ac:dyDescent="0.25">
      <c r="A82">
        <v>10</v>
      </c>
      <c r="B82" t="s">
        <v>35</v>
      </c>
      <c r="C82">
        <v>258633</v>
      </c>
      <c r="E82" t="s">
        <v>56</v>
      </c>
      <c r="F82">
        <v>12349</v>
      </c>
      <c r="G82">
        <v>18782</v>
      </c>
      <c r="H82">
        <v>3781</v>
      </c>
      <c r="I82">
        <v>4308</v>
      </c>
      <c r="J82">
        <v>3697</v>
      </c>
      <c r="K82">
        <v>2428</v>
      </c>
      <c r="L82">
        <v>4914</v>
      </c>
      <c r="M82">
        <v>2818</v>
      </c>
      <c r="N82">
        <v>7161</v>
      </c>
      <c r="O82">
        <v>37215</v>
      </c>
      <c r="P82">
        <v>116596</v>
      </c>
      <c r="Q82">
        <v>20113</v>
      </c>
      <c r="R82">
        <v>4265</v>
      </c>
      <c r="S82">
        <v>1285</v>
      </c>
      <c r="T82">
        <v>2558</v>
      </c>
      <c r="U82">
        <v>1979</v>
      </c>
      <c r="V82">
        <v>7524</v>
      </c>
      <c r="W82">
        <v>2064</v>
      </c>
      <c r="X82">
        <v>1141</v>
      </c>
      <c r="Y82">
        <v>2279</v>
      </c>
      <c r="Z82">
        <v>1376</v>
      </c>
      <c r="AA82">
        <f t="shared" si="46"/>
        <v>258633</v>
      </c>
      <c r="AB82">
        <f t="shared" si="47"/>
        <v>0</v>
      </c>
    </row>
    <row r="83" spans="1:28" x14ac:dyDescent="0.25">
      <c r="A83">
        <v>11</v>
      </c>
      <c r="B83" t="s">
        <v>36</v>
      </c>
      <c r="C83">
        <v>142454</v>
      </c>
      <c r="E83" t="s">
        <v>57</v>
      </c>
      <c r="F83">
        <v>6523</v>
      </c>
      <c r="G83">
        <v>17485</v>
      </c>
      <c r="H83">
        <v>2997</v>
      </c>
      <c r="I83">
        <v>2752</v>
      </c>
      <c r="J83">
        <v>2448</v>
      </c>
      <c r="K83">
        <v>1406</v>
      </c>
      <c r="L83">
        <v>2424</v>
      </c>
      <c r="M83">
        <v>1476</v>
      </c>
      <c r="N83">
        <v>2596</v>
      </c>
      <c r="O83">
        <v>4498</v>
      </c>
      <c r="P83">
        <v>18760</v>
      </c>
      <c r="Q83">
        <v>49052</v>
      </c>
      <c r="R83">
        <v>8154</v>
      </c>
      <c r="S83">
        <v>966</v>
      </c>
      <c r="T83">
        <v>1798</v>
      </c>
      <c r="U83">
        <v>1267</v>
      </c>
      <c r="V83">
        <v>12872</v>
      </c>
      <c r="W83">
        <v>1924</v>
      </c>
      <c r="X83">
        <v>787</v>
      </c>
      <c r="Y83">
        <v>1378</v>
      </c>
      <c r="Z83">
        <v>891</v>
      </c>
      <c r="AA83">
        <f t="shared" si="46"/>
        <v>142454</v>
      </c>
      <c r="AB83">
        <f t="shared" si="47"/>
        <v>0</v>
      </c>
    </row>
    <row r="84" spans="1:28" x14ac:dyDescent="0.25">
      <c r="A84">
        <v>12</v>
      </c>
      <c r="B84" t="s">
        <v>37</v>
      </c>
      <c r="C84">
        <v>239057</v>
      </c>
      <c r="E84" t="s">
        <v>58</v>
      </c>
      <c r="F84">
        <v>8420</v>
      </c>
      <c r="G84">
        <v>9064</v>
      </c>
      <c r="H84">
        <v>18646</v>
      </c>
      <c r="I84">
        <v>6214</v>
      </c>
      <c r="J84">
        <v>4388</v>
      </c>
      <c r="K84">
        <v>2720</v>
      </c>
      <c r="L84">
        <v>3618</v>
      </c>
      <c r="M84">
        <v>3053</v>
      </c>
      <c r="N84">
        <v>2777</v>
      </c>
      <c r="O84">
        <v>2686</v>
      </c>
      <c r="P84">
        <v>3978</v>
      </c>
      <c r="Q84">
        <v>8306</v>
      </c>
      <c r="R84">
        <v>101272</v>
      </c>
      <c r="S84">
        <v>14593</v>
      </c>
      <c r="T84">
        <v>4276</v>
      </c>
      <c r="U84">
        <v>2657</v>
      </c>
      <c r="V84">
        <v>5616</v>
      </c>
      <c r="W84">
        <v>24179</v>
      </c>
      <c r="X84">
        <v>7189</v>
      </c>
      <c r="Y84">
        <v>3636</v>
      </c>
      <c r="Z84">
        <v>1769</v>
      </c>
      <c r="AA84">
        <f t="shared" si="46"/>
        <v>239057</v>
      </c>
      <c r="AB84">
        <f t="shared" si="47"/>
        <v>0</v>
      </c>
    </row>
    <row r="85" spans="1:28" x14ac:dyDescent="0.25">
      <c r="A85">
        <v>13</v>
      </c>
      <c r="B85" t="s">
        <v>38</v>
      </c>
      <c r="C85">
        <v>93810</v>
      </c>
      <c r="E85" t="s">
        <v>59</v>
      </c>
      <c r="F85">
        <v>2285</v>
      </c>
      <c r="G85">
        <v>1359</v>
      </c>
      <c r="H85">
        <v>10292</v>
      </c>
      <c r="I85">
        <v>5401</v>
      </c>
      <c r="J85">
        <v>2253</v>
      </c>
      <c r="K85">
        <v>1019</v>
      </c>
      <c r="L85">
        <v>1577</v>
      </c>
      <c r="M85">
        <v>1343</v>
      </c>
      <c r="N85">
        <v>1084</v>
      </c>
      <c r="O85">
        <v>778</v>
      </c>
      <c r="P85">
        <v>1044</v>
      </c>
      <c r="Q85">
        <v>891</v>
      </c>
      <c r="R85">
        <v>13322</v>
      </c>
      <c r="S85">
        <v>25918</v>
      </c>
      <c r="T85">
        <v>7944</v>
      </c>
      <c r="U85">
        <v>1351</v>
      </c>
      <c r="V85">
        <v>655</v>
      </c>
      <c r="W85">
        <v>3901</v>
      </c>
      <c r="X85">
        <v>6223</v>
      </c>
      <c r="Y85">
        <v>4350</v>
      </c>
      <c r="Z85">
        <v>820</v>
      </c>
      <c r="AA85">
        <f t="shared" si="46"/>
        <v>93810</v>
      </c>
      <c r="AB85">
        <f t="shared" si="47"/>
        <v>0</v>
      </c>
    </row>
    <row r="86" spans="1:28" x14ac:dyDescent="0.25">
      <c r="A86">
        <v>14</v>
      </c>
      <c r="B86" t="s">
        <v>39</v>
      </c>
      <c r="C86">
        <v>216818</v>
      </c>
      <c r="E86" t="s">
        <v>60</v>
      </c>
      <c r="F86">
        <v>6755</v>
      </c>
      <c r="G86">
        <v>2783</v>
      </c>
      <c r="H86">
        <v>6165</v>
      </c>
      <c r="I86">
        <v>22935</v>
      </c>
      <c r="J86">
        <v>17582</v>
      </c>
      <c r="K86">
        <v>4064</v>
      </c>
      <c r="L86">
        <v>6581</v>
      </c>
      <c r="M86">
        <v>6120</v>
      </c>
      <c r="N86">
        <v>3710</v>
      </c>
      <c r="O86">
        <v>1860</v>
      </c>
      <c r="P86">
        <v>2219</v>
      </c>
      <c r="Q86">
        <v>1637</v>
      </c>
      <c r="R86">
        <v>3768</v>
      </c>
      <c r="S86">
        <v>7720</v>
      </c>
      <c r="T86">
        <v>73065</v>
      </c>
      <c r="U86">
        <v>15231</v>
      </c>
      <c r="V86">
        <v>1488</v>
      </c>
      <c r="W86">
        <v>1867</v>
      </c>
      <c r="X86">
        <v>2650</v>
      </c>
      <c r="Y86">
        <v>24873</v>
      </c>
      <c r="Z86">
        <v>3745</v>
      </c>
      <c r="AA86">
        <f t="shared" si="46"/>
        <v>216818</v>
      </c>
      <c r="AB86">
        <f t="shared" si="47"/>
        <v>0</v>
      </c>
    </row>
    <row r="87" spans="1:28" x14ac:dyDescent="0.25">
      <c r="A87">
        <v>15</v>
      </c>
      <c r="B87" t="s">
        <v>40</v>
      </c>
      <c r="C87">
        <v>193228</v>
      </c>
      <c r="E87" t="s">
        <v>61</v>
      </c>
      <c r="F87">
        <v>3560</v>
      </c>
      <c r="G87">
        <v>1918</v>
      </c>
      <c r="H87">
        <v>2756</v>
      </c>
      <c r="I87">
        <v>5439</v>
      </c>
      <c r="J87">
        <v>14574</v>
      </c>
      <c r="K87">
        <v>4652</v>
      </c>
      <c r="L87">
        <v>3970</v>
      </c>
      <c r="M87">
        <v>17601</v>
      </c>
      <c r="N87">
        <v>2731</v>
      </c>
      <c r="O87">
        <v>1498</v>
      </c>
      <c r="P87">
        <v>1571</v>
      </c>
      <c r="Q87">
        <v>1081</v>
      </c>
      <c r="R87">
        <v>2132</v>
      </c>
      <c r="S87">
        <v>1125</v>
      </c>
      <c r="T87">
        <v>14123</v>
      </c>
      <c r="U87">
        <v>88879</v>
      </c>
      <c r="V87">
        <v>1127</v>
      </c>
      <c r="W87">
        <v>1424</v>
      </c>
      <c r="X87">
        <v>1337</v>
      </c>
      <c r="Y87">
        <v>10842</v>
      </c>
      <c r="Z87">
        <v>10888</v>
      </c>
      <c r="AA87">
        <f t="shared" si="46"/>
        <v>193228</v>
      </c>
      <c r="AB87">
        <f t="shared" si="47"/>
        <v>0</v>
      </c>
    </row>
    <row r="88" spans="1:28" x14ac:dyDescent="0.25">
      <c r="A88">
        <v>16</v>
      </c>
      <c r="B88" t="s">
        <v>41</v>
      </c>
      <c r="C88">
        <v>154808</v>
      </c>
      <c r="E88" t="s">
        <v>62</v>
      </c>
      <c r="F88">
        <v>5695</v>
      </c>
      <c r="G88">
        <v>5990</v>
      </c>
      <c r="H88">
        <v>3093</v>
      </c>
      <c r="I88">
        <v>2881</v>
      </c>
      <c r="J88">
        <v>3165</v>
      </c>
      <c r="K88">
        <v>1781</v>
      </c>
      <c r="L88">
        <v>2584</v>
      </c>
      <c r="M88">
        <v>2233</v>
      </c>
      <c r="N88">
        <v>2494</v>
      </c>
      <c r="O88">
        <v>3261</v>
      </c>
      <c r="P88">
        <v>8845</v>
      </c>
      <c r="Q88">
        <v>16049</v>
      </c>
      <c r="R88">
        <v>7026</v>
      </c>
      <c r="S88">
        <v>889</v>
      </c>
      <c r="T88">
        <v>2013</v>
      </c>
      <c r="U88">
        <v>1653</v>
      </c>
      <c r="V88">
        <v>74370</v>
      </c>
      <c r="W88">
        <v>6402</v>
      </c>
      <c r="X88">
        <v>1394</v>
      </c>
      <c r="Y88">
        <v>1823</v>
      </c>
      <c r="Z88">
        <v>1167</v>
      </c>
      <c r="AA88">
        <f t="shared" si="46"/>
        <v>154808</v>
      </c>
      <c r="AB88">
        <f t="shared" si="47"/>
        <v>0</v>
      </c>
    </row>
    <row r="89" spans="1:28" x14ac:dyDescent="0.25">
      <c r="A89">
        <v>17</v>
      </c>
      <c r="B89" t="s">
        <v>42</v>
      </c>
      <c r="C89">
        <v>114733</v>
      </c>
      <c r="E89" t="s">
        <v>63</v>
      </c>
      <c r="F89">
        <v>2549</v>
      </c>
      <c r="G89">
        <v>2002</v>
      </c>
      <c r="H89">
        <v>2703</v>
      </c>
      <c r="I89">
        <v>2263</v>
      </c>
      <c r="J89">
        <v>1642</v>
      </c>
      <c r="K89">
        <v>1028</v>
      </c>
      <c r="L89">
        <v>1310</v>
      </c>
      <c r="M89">
        <v>1435</v>
      </c>
      <c r="N89">
        <v>994</v>
      </c>
      <c r="O89">
        <v>1182</v>
      </c>
      <c r="P89">
        <v>1672</v>
      </c>
      <c r="Q89">
        <v>1586</v>
      </c>
      <c r="R89">
        <v>19921</v>
      </c>
      <c r="S89">
        <v>3559</v>
      </c>
      <c r="T89">
        <v>1787</v>
      </c>
      <c r="U89">
        <v>1464</v>
      </c>
      <c r="V89">
        <v>4216</v>
      </c>
      <c r="W89">
        <v>45697</v>
      </c>
      <c r="X89">
        <v>14646</v>
      </c>
      <c r="Y89">
        <v>2135</v>
      </c>
      <c r="Z89">
        <v>942</v>
      </c>
      <c r="AA89">
        <f t="shared" si="46"/>
        <v>114733</v>
      </c>
      <c r="AB89">
        <f t="shared" si="47"/>
        <v>0</v>
      </c>
    </row>
    <row r="90" spans="1:28" x14ac:dyDescent="0.25">
      <c r="A90">
        <v>18</v>
      </c>
      <c r="B90" t="s">
        <v>43</v>
      </c>
      <c r="C90">
        <v>75485</v>
      </c>
      <c r="E90" t="s">
        <v>64</v>
      </c>
      <c r="F90">
        <v>1533</v>
      </c>
      <c r="G90">
        <v>1076</v>
      </c>
      <c r="H90">
        <v>2142</v>
      </c>
      <c r="I90">
        <v>2260</v>
      </c>
      <c r="J90">
        <v>1527</v>
      </c>
      <c r="K90">
        <v>768</v>
      </c>
      <c r="L90">
        <v>1019</v>
      </c>
      <c r="M90">
        <v>1180</v>
      </c>
      <c r="N90">
        <v>838</v>
      </c>
      <c r="O90">
        <v>747</v>
      </c>
      <c r="P90">
        <v>914</v>
      </c>
      <c r="Q90">
        <v>689</v>
      </c>
      <c r="R90">
        <v>6031</v>
      </c>
      <c r="S90">
        <v>5954</v>
      </c>
      <c r="T90">
        <v>2534</v>
      </c>
      <c r="U90">
        <v>1432</v>
      </c>
      <c r="V90">
        <v>897</v>
      </c>
      <c r="W90">
        <v>15187</v>
      </c>
      <c r="X90">
        <v>17865</v>
      </c>
      <c r="Y90">
        <v>9739</v>
      </c>
      <c r="Z90">
        <v>1153</v>
      </c>
      <c r="AA90">
        <f t="shared" si="46"/>
        <v>75485</v>
      </c>
      <c r="AB90">
        <f t="shared" si="47"/>
        <v>0</v>
      </c>
    </row>
    <row r="91" spans="1:28" x14ac:dyDescent="0.25">
      <c r="A91">
        <v>19</v>
      </c>
      <c r="B91" t="s">
        <v>44</v>
      </c>
      <c r="C91">
        <v>160258</v>
      </c>
      <c r="E91" t="s">
        <v>65</v>
      </c>
      <c r="F91">
        <v>3131</v>
      </c>
      <c r="G91">
        <v>1642</v>
      </c>
      <c r="H91">
        <v>2628</v>
      </c>
      <c r="I91">
        <v>5138</v>
      </c>
      <c r="J91">
        <v>4192</v>
      </c>
      <c r="K91">
        <v>1932</v>
      </c>
      <c r="L91">
        <v>3474</v>
      </c>
      <c r="M91">
        <v>3336</v>
      </c>
      <c r="N91">
        <v>2574</v>
      </c>
      <c r="O91">
        <v>1253</v>
      </c>
      <c r="P91">
        <v>1587</v>
      </c>
      <c r="Q91">
        <v>1062</v>
      </c>
      <c r="R91">
        <v>2770</v>
      </c>
      <c r="S91">
        <v>3671</v>
      </c>
      <c r="T91">
        <v>22522</v>
      </c>
      <c r="U91">
        <v>10192</v>
      </c>
      <c r="V91">
        <v>1156</v>
      </c>
      <c r="W91">
        <v>2039</v>
      </c>
      <c r="X91">
        <v>8512</v>
      </c>
      <c r="Y91">
        <v>67095</v>
      </c>
      <c r="Z91">
        <v>10352</v>
      </c>
      <c r="AA91">
        <f t="shared" si="46"/>
        <v>160258</v>
      </c>
      <c r="AB91">
        <f t="shared" si="47"/>
        <v>0</v>
      </c>
    </row>
    <row r="92" spans="1:28" x14ac:dyDescent="0.25">
      <c r="A92">
        <v>20</v>
      </c>
      <c r="B92" t="s">
        <v>45</v>
      </c>
      <c r="C92">
        <v>50077</v>
      </c>
      <c r="E92" t="s">
        <v>66</v>
      </c>
      <c r="F92">
        <v>1101</v>
      </c>
      <c r="G92">
        <v>611</v>
      </c>
      <c r="H92">
        <v>856</v>
      </c>
      <c r="I92">
        <v>1200</v>
      </c>
      <c r="J92">
        <v>1914</v>
      </c>
      <c r="K92">
        <v>842</v>
      </c>
      <c r="L92">
        <v>972</v>
      </c>
      <c r="M92">
        <v>1358</v>
      </c>
      <c r="N92">
        <v>619</v>
      </c>
      <c r="O92">
        <v>536</v>
      </c>
      <c r="P92">
        <v>563</v>
      </c>
      <c r="Q92">
        <v>411</v>
      </c>
      <c r="R92">
        <v>788</v>
      </c>
      <c r="S92">
        <v>393</v>
      </c>
      <c r="T92">
        <v>2025</v>
      </c>
      <c r="U92">
        <v>6413</v>
      </c>
      <c r="V92">
        <v>434</v>
      </c>
      <c r="W92">
        <v>528</v>
      </c>
      <c r="X92">
        <v>629</v>
      </c>
      <c r="Y92">
        <v>6426</v>
      </c>
      <c r="Z92">
        <v>21458</v>
      </c>
      <c r="AA92">
        <f t="shared" si="46"/>
        <v>50077</v>
      </c>
      <c r="AB92">
        <f t="shared" si="47"/>
        <v>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B94BA-A0C9-4472-97B7-1082F437B43B}">
  <dimension ref="A1:W114"/>
  <sheetViews>
    <sheetView tabSelected="1" workbookViewId="0">
      <selection activeCell="H15" sqref="H15"/>
    </sheetView>
  </sheetViews>
  <sheetFormatPr defaultRowHeight="12" x14ac:dyDescent="0.2"/>
  <cols>
    <col min="1" max="1" width="6.7109375" style="3" bestFit="1" customWidth="1"/>
    <col min="2" max="8" width="5.85546875" style="3" bestFit="1" customWidth="1"/>
    <col min="9" max="9" width="6.140625" style="3" bestFit="1" customWidth="1"/>
    <col min="10" max="11" width="5.85546875" style="3" bestFit="1" customWidth="1"/>
    <col min="12" max="22" width="6.7109375" style="3" bestFit="1" customWidth="1"/>
    <col min="23" max="16384" width="9.140625" style="3"/>
  </cols>
  <sheetData>
    <row r="1" spans="1:22" x14ac:dyDescent="0.2">
      <c r="B1" s="3" t="s">
        <v>46</v>
      </c>
      <c r="C1" s="3" t="s">
        <v>47</v>
      </c>
      <c r="D1" s="3" t="s">
        <v>48</v>
      </c>
      <c r="E1" s="3" t="s">
        <v>49</v>
      </c>
      <c r="F1" s="3" t="s">
        <v>50</v>
      </c>
      <c r="G1" s="3" t="s">
        <v>51</v>
      </c>
      <c r="H1" s="3" t="s">
        <v>52</v>
      </c>
      <c r="I1" s="3" t="s">
        <v>53</v>
      </c>
      <c r="J1" s="3" t="s">
        <v>54</v>
      </c>
      <c r="K1" s="3" t="s">
        <v>55</v>
      </c>
      <c r="L1" s="3" t="s">
        <v>56</v>
      </c>
      <c r="M1" s="3" t="s">
        <v>57</v>
      </c>
      <c r="N1" s="3" t="s">
        <v>58</v>
      </c>
      <c r="O1" s="3" t="s">
        <v>59</v>
      </c>
      <c r="P1" s="3" t="s">
        <v>60</v>
      </c>
      <c r="Q1" s="3" t="s">
        <v>61</v>
      </c>
      <c r="R1" s="3" t="s">
        <v>62</v>
      </c>
      <c r="S1" s="3" t="s">
        <v>63</v>
      </c>
      <c r="T1" s="3" t="s">
        <v>64</v>
      </c>
      <c r="U1" s="3" t="s">
        <v>65</v>
      </c>
      <c r="V1" s="3" t="s">
        <v>66</v>
      </c>
    </row>
    <row r="2" spans="1:22" x14ac:dyDescent="0.2">
      <c r="A2" s="3" t="s">
        <v>46</v>
      </c>
      <c r="B2" s="3">
        <v>44261</v>
      </c>
      <c r="C2" s="3">
        <v>12496</v>
      </c>
      <c r="D2" s="3">
        <v>8400</v>
      </c>
      <c r="E2" s="3">
        <v>7056</v>
      </c>
      <c r="F2" s="3">
        <v>4905</v>
      </c>
      <c r="G2" s="3">
        <v>4468</v>
      </c>
      <c r="H2" s="3">
        <v>14320</v>
      </c>
      <c r="I2" s="3">
        <v>3184</v>
      </c>
      <c r="J2" s="3">
        <v>8407</v>
      </c>
      <c r="K2" s="3">
        <v>6212</v>
      </c>
      <c r="L2" s="3">
        <v>5607</v>
      </c>
      <c r="M2" s="3">
        <v>3208</v>
      </c>
      <c r="N2" s="3">
        <v>3999</v>
      </c>
      <c r="O2" s="3">
        <v>1240</v>
      </c>
      <c r="P2" s="3">
        <v>3604</v>
      </c>
      <c r="Q2" s="3">
        <v>2085</v>
      </c>
      <c r="R2" s="3">
        <v>2210</v>
      </c>
      <c r="S2" s="3">
        <v>1405</v>
      </c>
      <c r="T2" s="3">
        <v>857</v>
      </c>
      <c r="U2" s="3">
        <v>2060</v>
      </c>
      <c r="V2" s="3">
        <v>1252</v>
      </c>
    </row>
    <row r="3" spans="1:22" x14ac:dyDescent="0.2">
      <c r="A3" s="3" t="s">
        <v>47</v>
      </c>
      <c r="B3" s="3">
        <v>20174</v>
      </c>
      <c r="C3" s="3">
        <v>46291</v>
      </c>
      <c r="D3" s="3">
        <v>10220</v>
      </c>
      <c r="E3" s="3">
        <v>4617</v>
      </c>
      <c r="F3" s="3">
        <v>3807</v>
      </c>
      <c r="G3" s="3">
        <v>2327</v>
      </c>
      <c r="H3" s="3">
        <v>4707</v>
      </c>
      <c r="I3" s="3">
        <v>2356</v>
      </c>
      <c r="J3" s="3">
        <v>5026</v>
      </c>
      <c r="K3" s="3">
        <v>5874</v>
      </c>
      <c r="L3" s="3">
        <v>13697</v>
      </c>
      <c r="M3" s="3">
        <v>13389</v>
      </c>
      <c r="N3" s="3">
        <v>6758</v>
      </c>
      <c r="O3" s="3">
        <v>1194</v>
      </c>
      <c r="P3" s="3">
        <v>2470</v>
      </c>
      <c r="Q3" s="3">
        <v>1808</v>
      </c>
      <c r="R3" s="3">
        <v>3715</v>
      </c>
      <c r="S3" s="3">
        <v>1901</v>
      </c>
      <c r="T3" s="3">
        <v>1015</v>
      </c>
      <c r="U3" s="3">
        <v>1801</v>
      </c>
      <c r="V3" s="3">
        <v>1096</v>
      </c>
    </row>
    <row r="4" spans="1:22" x14ac:dyDescent="0.2">
      <c r="A4" s="3" t="s">
        <v>48</v>
      </c>
      <c r="B4" s="3">
        <v>11024</v>
      </c>
      <c r="C4" s="3">
        <v>8396</v>
      </c>
      <c r="D4" s="3">
        <v>30886</v>
      </c>
      <c r="E4" s="3">
        <v>12814</v>
      </c>
      <c r="F4" s="3">
        <v>4187</v>
      </c>
      <c r="G4" s="3">
        <v>2333</v>
      </c>
      <c r="H4" s="3">
        <v>3666</v>
      </c>
      <c r="I4" s="3">
        <v>2088</v>
      </c>
      <c r="J4" s="3">
        <v>2200</v>
      </c>
      <c r="K4" s="3">
        <v>1996</v>
      </c>
      <c r="L4" s="3">
        <v>2392</v>
      </c>
      <c r="M4" s="3">
        <v>1928</v>
      </c>
      <c r="N4" s="3">
        <v>12135</v>
      </c>
      <c r="O4" s="3">
        <v>7304</v>
      </c>
      <c r="P4" s="3">
        <v>4301</v>
      </c>
      <c r="Q4" s="3">
        <v>2031</v>
      </c>
      <c r="R4" s="3">
        <v>1647</v>
      </c>
      <c r="S4" s="3">
        <v>2112</v>
      </c>
      <c r="T4" s="3">
        <v>1768</v>
      </c>
      <c r="U4" s="3">
        <v>2189</v>
      </c>
      <c r="V4" s="3">
        <v>1160</v>
      </c>
    </row>
    <row r="5" spans="1:22" x14ac:dyDescent="0.2">
      <c r="A5" s="3" t="s">
        <v>49</v>
      </c>
      <c r="B5" s="3">
        <v>9048</v>
      </c>
      <c r="C5" s="3">
        <v>3312</v>
      </c>
      <c r="D5" s="3">
        <v>12345</v>
      </c>
      <c r="E5" s="3">
        <v>43350</v>
      </c>
      <c r="F5" s="3">
        <v>13158</v>
      </c>
      <c r="G5" s="3">
        <v>4078</v>
      </c>
      <c r="H5" s="3">
        <v>11072</v>
      </c>
      <c r="I5" s="3">
        <v>3635</v>
      </c>
      <c r="J5" s="3">
        <v>3201</v>
      </c>
      <c r="K5" s="3">
        <v>2243</v>
      </c>
      <c r="L5" s="3">
        <v>2340</v>
      </c>
      <c r="M5" s="3">
        <v>1692</v>
      </c>
      <c r="N5" s="3">
        <v>3659</v>
      </c>
      <c r="O5" s="3">
        <v>3553</v>
      </c>
      <c r="P5" s="3">
        <v>15251</v>
      </c>
      <c r="Q5" s="3">
        <v>3925</v>
      </c>
      <c r="R5" s="3">
        <v>1369</v>
      </c>
      <c r="S5" s="3">
        <v>1561</v>
      </c>
      <c r="T5" s="3">
        <v>1586</v>
      </c>
      <c r="U5" s="3">
        <v>4056</v>
      </c>
      <c r="V5" s="3">
        <v>1582</v>
      </c>
    </row>
    <row r="6" spans="1:22" x14ac:dyDescent="0.2">
      <c r="A6" s="3" t="s">
        <v>50</v>
      </c>
      <c r="B6" s="3">
        <v>5595</v>
      </c>
      <c r="C6" s="3">
        <v>2545</v>
      </c>
      <c r="D6" s="3">
        <v>3715</v>
      </c>
      <c r="E6" s="3">
        <v>11840</v>
      </c>
      <c r="F6" s="3">
        <v>42466</v>
      </c>
      <c r="G6" s="3">
        <v>17669</v>
      </c>
      <c r="H6" s="3">
        <v>8573</v>
      </c>
      <c r="I6" s="3">
        <v>11469</v>
      </c>
      <c r="J6" s="3">
        <v>3820</v>
      </c>
      <c r="K6" s="3">
        <v>2289</v>
      </c>
      <c r="L6" s="3">
        <v>1901</v>
      </c>
      <c r="M6" s="3">
        <v>1372</v>
      </c>
      <c r="N6" s="3">
        <v>2395</v>
      </c>
      <c r="O6" s="3">
        <v>1299</v>
      </c>
      <c r="P6" s="3">
        <v>10648</v>
      </c>
      <c r="Q6" s="3">
        <v>9365</v>
      </c>
      <c r="R6" s="3">
        <v>1388</v>
      </c>
      <c r="S6" s="3">
        <v>1055</v>
      </c>
      <c r="T6" s="3">
        <v>986</v>
      </c>
      <c r="U6" s="3">
        <v>3101</v>
      </c>
      <c r="V6" s="3">
        <v>2209</v>
      </c>
    </row>
    <row r="7" spans="1:22" x14ac:dyDescent="0.2">
      <c r="A7" s="3" t="s">
        <v>51</v>
      </c>
      <c r="B7" s="3">
        <v>7731</v>
      </c>
      <c r="C7" s="3">
        <v>2446</v>
      </c>
      <c r="D7" s="3">
        <v>3005</v>
      </c>
      <c r="E7" s="3">
        <v>5587</v>
      </c>
      <c r="F7" s="3">
        <v>27689</v>
      </c>
      <c r="G7" s="3">
        <v>44567</v>
      </c>
      <c r="H7" s="3">
        <v>16055</v>
      </c>
      <c r="I7" s="3">
        <v>19114</v>
      </c>
      <c r="J7" s="3">
        <v>9712</v>
      </c>
      <c r="K7" s="3">
        <v>2474</v>
      </c>
      <c r="L7" s="3">
        <v>1971</v>
      </c>
      <c r="M7" s="3">
        <v>1198</v>
      </c>
      <c r="N7" s="3">
        <v>2240</v>
      </c>
      <c r="O7" s="3">
        <v>925</v>
      </c>
      <c r="P7" s="3">
        <v>3787</v>
      </c>
      <c r="Q7" s="3">
        <v>4741</v>
      </c>
      <c r="R7" s="3">
        <v>1206</v>
      </c>
      <c r="S7" s="3">
        <v>986</v>
      </c>
      <c r="T7" s="3">
        <v>745</v>
      </c>
      <c r="U7" s="3">
        <v>2135</v>
      </c>
      <c r="V7" s="3">
        <v>1535</v>
      </c>
    </row>
    <row r="8" spans="1:22" x14ac:dyDescent="0.2">
      <c r="A8" s="3" t="s">
        <v>52</v>
      </c>
      <c r="B8" s="3">
        <v>19258</v>
      </c>
      <c r="C8" s="3">
        <v>3791</v>
      </c>
      <c r="D8" s="3">
        <v>3524</v>
      </c>
      <c r="E8" s="3">
        <v>10927</v>
      </c>
      <c r="F8" s="3">
        <v>9760</v>
      </c>
      <c r="G8" s="3">
        <v>11689</v>
      </c>
      <c r="H8" s="3">
        <v>36647</v>
      </c>
      <c r="I8" s="3">
        <v>5435</v>
      </c>
      <c r="J8" s="3">
        <v>12500</v>
      </c>
      <c r="K8" s="3">
        <v>3997</v>
      </c>
      <c r="L8" s="3">
        <v>3034</v>
      </c>
      <c r="M8" s="3">
        <v>1542</v>
      </c>
      <c r="N8" s="3">
        <v>2170</v>
      </c>
      <c r="O8" s="3">
        <v>1027</v>
      </c>
      <c r="P8" s="3">
        <v>4046</v>
      </c>
      <c r="Q8" s="3">
        <v>2752</v>
      </c>
      <c r="R8" s="3">
        <v>1289</v>
      </c>
      <c r="S8" s="3">
        <v>885</v>
      </c>
      <c r="T8" s="3">
        <v>715</v>
      </c>
      <c r="U8" s="3">
        <v>2475</v>
      </c>
      <c r="V8" s="3">
        <v>1204</v>
      </c>
    </row>
    <row r="9" spans="1:22" x14ac:dyDescent="0.2">
      <c r="A9" s="3" t="s">
        <v>53</v>
      </c>
      <c r="B9" s="3">
        <v>5586</v>
      </c>
      <c r="C9" s="3">
        <v>2505</v>
      </c>
      <c r="D9" s="3">
        <v>2849</v>
      </c>
      <c r="E9" s="3">
        <v>5167</v>
      </c>
      <c r="F9" s="3">
        <v>17617</v>
      </c>
      <c r="G9" s="3">
        <v>19296</v>
      </c>
      <c r="H9" s="3">
        <v>7650</v>
      </c>
      <c r="I9" s="3">
        <v>128917</v>
      </c>
      <c r="J9" s="3">
        <v>13890</v>
      </c>
      <c r="K9" s="3">
        <v>2687</v>
      </c>
      <c r="L9" s="3">
        <v>2317</v>
      </c>
      <c r="M9" s="3">
        <v>1391</v>
      </c>
      <c r="N9" s="3">
        <v>2529</v>
      </c>
      <c r="O9" s="3">
        <v>1237</v>
      </c>
      <c r="P9" s="3">
        <v>5658</v>
      </c>
      <c r="Q9" s="3">
        <v>17997</v>
      </c>
      <c r="R9" s="3">
        <v>1535</v>
      </c>
      <c r="S9" s="3">
        <v>1437</v>
      </c>
      <c r="T9" s="3">
        <v>1131</v>
      </c>
      <c r="U9" s="3">
        <v>3700</v>
      </c>
      <c r="V9" s="3">
        <v>2596</v>
      </c>
    </row>
    <row r="10" spans="1:22" x14ac:dyDescent="0.2">
      <c r="A10" s="3" t="s">
        <v>54</v>
      </c>
      <c r="B10" s="3">
        <v>10357</v>
      </c>
      <c r="C10" s="3">
        <v>3734</v>
      </c>
      <c r="D10" s="3">
        <v>2044</v>
      </c>
      <c r="E10" s="3">
        <v>3252</v>
      </c>
      <c r="F10" s="3">
        <v>4435</v>
      </c>
      <c r="G10" s="3">
        <v>7064</v>
      </c>
      <c r="H10" s="3">
        <v>12396</v>
      </c>
      <c r="I10" s="3">
        <v>10343</v>
      </c>
      <c r="J10" s="3">
        <v>37765</v>
      </c>
      <c r="K10" s="3">
        <v>12225</v>
      </c>
      <c r="L10" s="3">
        <v>3926</v>
      </c>
      <c r="M10" s="3">
        <v>1512</v>
      </c>
      <c r="N10" s="3">
        <v>1577</v>
      </c>
      <c r="O10" s="3">
        <v>685</v>
      </c>
      <c r="P10" s="3">
        <v>2337</v>
      </c>
      <c r="Q10" s="3">
        <v>2104</v>
      </c>
      <c r="R10" s="3">
        <v>1182</v>
      </c>
      <c r="S10" s="3">
        <v>673</v>
      </c>
      <c r="T10" s="3">
        <v>555</v>
      </c>
      <c r="U10" s="3">
        <v>1765</v>
      </c>
      <c r="V10" s="3">
        <v>903</v>
      </c>
    </row>
    <row r="11" spans="1:22" x14ac:dyDescent="0.2">
      <c r="A11" s="3" t="s">
        <v>55</v>
      </c>
      <c r="B11" s="3">
        <v>15146</v>
      </c>
      <c r="C11" s="3">
        <v>8717</v>
      </c>
      <c r="D11" s="3">
        <v>3797</v>
      </c>
      <c r="E11" s="3">
        <v>4556</v>
      </c>
      <c r="F11" s="3">
        <v>4974</v>
      </c>
      <c r="G11" s="3">
        <v>3576</v>
      </c>
      <c r="H11" s="3">
        <v>7482</v>
      </c>
      <c r="I11" s="3">
        <v>3910</v>
      </c>
      <c r="J11" s="3">
        <v>25049</v>
      </c>
      <c r="K11" s="3">
        <v>98947</v>
      </c>
      <c r="L11" s="3">
        <v>40979</v>
      </c>
      <c r="M11" s="3">
        <v>4953</v>
      </c>
      <c r="N11" s="3">
        <v>3118</v>
      </c>
      <c r="O11" s="3">
        <v>1106</v>
      </c>
      <c r="P11" s="3">
        <v>2456</v>
      </c>
      <c r="Q11" s="3">
        <v>2094</v>
      </c>
      <c r="R11" s="3">
        <v>3199</v>
      </c>
      <c r="S11" s="3">
        <v>1691</v>
      </c>
      <c r="T11" s="3">
        <v>1061</v>
      </c>
      <c r="U11" s="3">
        <v>1949</v>
      </c>
      <c r="V11" s="3">
        <v>1395</v>
      </c>
    </row>
    <row r="12" spans="1:22" x14ac:dyDescent="0.2">
      <c r="A12" s="3" t="s">
        <v>56</v>
      </c>
      <c r="B12" s="3">
        <v>12349</v>
      </c>
      <c r="C12" s="3">
        <v>18782</v>
      </c>
      <c r="D12" s="3">
        <v>3781</v>
      </c>
      <c r="E12" s="3">
        <v>4308</v>
      </c>
      <c r="F12" s="3">
        <v>3697</v>
      </c>
      <c r="G12" s="3">
        <v>2428</v>
      </c>
      <c r="H12" s="3">
        <v>4914</v>
      </c>
      <c r="I12" s="3">
        <v>2818</v>
      </c>
      <c r="J12" s="3">
        <v>7161</v>
      </c>
      <c r="K12" s="3">
        <v>37215</v>
      </c>
      <c r="L12" s="3">
        <v>116596</v>
      </c>
      <c r="M12" s="3">
        <v>20113</v>
      </c>
      <c r="N12" s="3">
        <v>4265</v>
      </c>
      <c r="O12" s="3">
        <v>1285</v>
      </c>
      <c r="P12" s="3">
        <v>2558</v>
      </c>
      <c r="Q12" s="3">
        <v>1979</v>
      </c>
      <c r="R12" s="3">
        <v>7524</v>
      </c>
      <c r="S12" s="3">
        <v>2064</v>
      </c>
      <c r="T12" s="3">
        <v>1141</v>
      </c>
      <c r="U12" s="3">
        <v>2279</v>
      </c>
      <c r="V12" s="3">
        <v>1376</v>
      </c>
    </row>
    <row r="13" spans="1:22" x14ac:dyDescent="0.2">
      <c r="A13" s="3" t="s">
        <v>57</v>
      </c>
      <c r="B13" s="3">
        <v>6523</v>
      </c>
      <c r="C13" s="3">
        <v>17485</v>
      </c>
      <c r="D13" s="3">
        <v>2997</v>
      </c>
      <c r="E13" s="3">
        <v>2752</v>
      </c>
      <c r="F13" s="3">
        <v>2448</v>
      </c>
      <c r="G13" s="3">
        <v>1406</v>
      </c>
      <c r="H13" s="3">
        <v>2424</v>
      </c>
      <c r="I13" s="3">
        <v>1476</v>
      </c>
      <c r="J13" s="3">
        <v>2596</v>
      </c>
      <c r="K13" s="3">
        <v>4498</v>
      </c>
      <c r="L13" s="3">
        <v>18760</v>
      </c>
      <c r="M13" s="3">
        <v>49052</v>
      </c>
      <c r="N13" s="3">
        <v>8154</v>
      </c>
      <c r="O13" s="3">
        <v>966</v>
      </c>
      <c r="P13" s="3">
        <v>1798</v>
      </c>
      <c r="Q13" s="3">
        <v>1267</v>
      </c>
      <c r="R13" s="3">
        <v>12872</v>
      </c>
      <c r="S13" s="3">
        <v>1924</v>
      </c>
      <c r="T13" s="3">
        <v>787</v>
      </c>
      <c r="U13" s="3">
        <v>1378</v>
      </c>
      <c r="V13" s="3">
        <v>891</v>
      </c>
    </row>
    <row r="14" spans="1:22" x14ac:dyDescent="0.2">
      <c r="A14" s="3" t="s">
        <v>58</v>
      </c>
      <c r="B14" s="3">
        <v>8420</v>
      </c>
      <c r="C14" s="3">
        <v>9064</v>
      </c>
      <c r="D14" s="3">
        <v>18646</v>
      </c>
      <c r="E14" s="3">
        <v>6214</v>
      </c>
      <c r="F14" s="3">
        <v>4388</v>
      </c>
      <c r="G14" s="3">
        <v>2720</v>
      </c>
      <c r="H14" s="3">
        <v>3618</v>
      </c>
      <c r="I14" s="3">
        <v>3053</v>
      </c>
      <c r="J14" s="3">
        <v>2777</v>
      </c>
      <c r="K14" s="3">
        <v>2686</v>
      </c>
      <c r="L14" s="3">
        <v>3978</v>
      </c>
      <c r="M14" s="3">
        <v>8306</v>
      </c>
      <c r="N14" s="3">
        <v>101272</v>
      </c>
      <c r="O14" s="3">
        <v>14593</v>
      </c>
      <c r="P14" s="3">
        <v>4276</v>
      </c>
      <c r="Q14" s="3">
        <v>2657</v>
      </c>
      <c r="R14" s="3">
        <v>5616</v>
      </c>
      <c r="S14" s="3">
        <v>24179</v>
      </c>
      <c r="T14" s="3">
        <v>7189</v>
      </c>
      <c r="U14" s="3">
        <v>3636</v>
      </c>
      <c r="V14" s="3">
        <v>1769</v>
      </c>
    </row>
    <row r="15" spans="1:22" x14ac:dyDescent="0.2">
      <c r="A15" s="3" t="s">
        <v>59</v>
      </c>
      <c r="B15" s="3">
        <v>2285</v>
      </c>
      <c r="C15" s="3">
        <v>1359</v>
      </c>
      <c r="D15" s="3">
        <v>10292</v>
      </c>
      <c r="E15" s="3">
        <v>5401</v>
      </c>
      <c r="F15" s="3">
        <v>2253</v>
      </c>
      <c r="G15" s="3">
        <v>1019</v>
      </c>
      <c r="H15" s="3">
        <v>1577</v>
      </c>
      <c r="I15" s="3">
        <v>1343</v>
      </c>
      <c r="J15" s="3">
        <v>1084</v>
      </c>
      <c r="K15" s="3">
        <v>778</v>
      </c>
      <c r="L15" s="3">
        <v>1044</v>
      </c>
      <c r="M15" s="3">
        <v>891</v>
      </c>
      <c r="N15" s="3">
        <v>13322</v>
      </c>
      <c r="O15" s="3">
        <v>25918</v>
      </c>
      <c r="P15" s="3">
        <v>7944</v>
      </c>
      <c r="Q15" s="3">
        <v>1351</v>
      </c>
      <c r="R15" s="3">
        <v>655</v>
      </c>
      <c r="S15" s="3">
        <v>3901</v>
      </c>
      <c r="T15" s="3">
        <v>6223</v>
      </c>
      <c r="U15" s="3">
        <v>4350</v>
      </c>
      <c r="V15" s="3">
        <v>820</v>
      </c>
    </row>
    <row r="16" spans="1:22" x14ac:dyDescent="0.2">
      <c r="A16" s="3" t="s">
        <v>60</v>
      </c>
      <c r="B16" s="3">
        <v>6755</v>
      </c>
      <c r="C16" s="3">
        <v>2783</v>
      </c>
      <c r="D16" s="3">
        <v>6165</v>
      </c>
      <c r="E16" s="3">
        <v>22935</v>
      </c>
      <c r="F16" s="3">
        <v>17582</v>
      </c>
      <c r="G16" s="3">
        <v>4064</v>
      </c>
      <c r="H16" s="3">
        <v>6581</v>
      </c>
      <c r="I16" s="3">
        <v>6120</v>
      </c>
      <c r="J16" s="3">
        <v>3710</v>
      </c>
      <c r="K16" s="3">
        <v>1860</v>
      </c>
      <c r="L16" s="3">
        <v>2219</v>
      </c>
      <c r="M16" s="3">
        <v>1637</v>
      </c>
      <c r="N16" s="3">
        <v>3768</v>
      </c>
      <c r="O16" s="3">
        <v>7720</v>
      </c>
      <c r="P16" s="3">
        <v>73065</v>
      </c>
      <c r="Q16" s="3">
        <v>15231</v>
      </c>
      <c r="R16" s="3">
        <v>1488</v>
      </c>
      <c r="S16" s="3">
        <v>1867</v>
      </c>
      <c r="T16" s="3">
        <v>2650</v>
      </c>
      <c r="U16" s="3">
        <v>24873</v>
      </c>
      <c r="V16" s="3">
        <v>3745</v>
      </c>
    </row>
    <row r="17" spans="1:22" x14ac:dyDescent="0.2">
      <c r="A17" s="3" t="s">
        <v>61</v>
      </c>
      <c r="B17" s="3">
        <v>3560</v>
      </c>
      <c r="C17" s="3">
        <v>1918</v>
      </c>
      <c r="D17" s="3">
        <v>2756</v>
      </c>
      <c r="E17" s="3">
        <v>5439</v>
      </c>
      <c r="F17" s="3">
        <v>14574</v>
      </c>
      <c r="G17" s="3">
        <v>4652</v>
      </c>
      <c r="H17" s="3">
        <v>3970</v>
      </c>
      <c r="I17" s="3">
        <v>17601</v>
      </c>
      <c r="J17" s="3">
        <v>2731</v>
      </c>
      <c r="K17" s="3">
        <v>1498</v>
      </c>
      <c r="L17" s="3">
        <v>1571</v>
      </c>
      <c r="M17" s="3">
        <v>1081</v>
      </c>
      <c r="N17" s="3">
        <v>2132</v>
      </c>
      <c r="O17" s="3">
        <v>1125</v>
      </c>
      <c r="P17" s="3">
        <v>14123</v>
      </c>
      <c r="Q17" s="3">
        <v>88879</v>
      </c>
      <c r="R17" s="3">
        <v>1127</v>
      </c>
      <c r="S17" s="3">
        <v>1424</v>
      </c>
      <c r="T17" s="3">
        <v>1337</v>
      </c>
      <c r="U17" s="3">
        <v>10842</v>
      </c>
      <c r="V17" s="3">
        <v>10888</v>
      </c>
    </row>
    <row r="18" spans="1:22" x14ac:dyDescent="0.2">
      <c r="A18" s="3" t="s">
        <v>62</v>
      </c>
      <c r="B18" s="3">
        <v>5695</v>
      </c>
      <c r="C18" s="3">
        <v>5990</v>
      </c>
      <c r="D18" s="3">
        <v>3093</v>
      </c>
      <c r="E18" s="3">
        <v>2881</v>
      </c>
      <c r="F18" s="3">
        <v>3165</v>
      </c>
      <c r="G18" s="3">
        <v>1781</v>
      </c>
      <c r="H18" s="3">
        <v>2584</v>
      </c>
      <c r="I18" s="3">
        <v>2233</v>
      </c>
      <c r="J18" s="3">
        <v>2494</v>
      </c>
      <c r="K18" s="3">
        <v>3261</v>
      </c>
      <c r="L18" s="3">
        <v>8845</v>
      </c>
      <c r="M18" s="3">
        <v>16049</v>
      </c>
      <c r="N18" s="3">
        <v>7026</v>
      </c>
      <c r="O18" s="3">
        <v>889</v>
      </c>
      <c r="P18" s="3">
        <v>2013</v>
      </c>
      <c r="Q18" s="3">
        <v>1653</v>
      </c>
      <c r="R18" s="3">
        <v>74370</v>
      </c>
      <c r="S18" s="3">
        <v>6402</v>
      </c>
      <c r="T18" s="3">
        <v>1394</v>
      </c>
      <c r="U18" s="3">
        <v>1823</v>
      </c>
      <c r="V18" s="3">
        <v>1167</v>
      </c>
    </row>
    <row r="19" spans="1:22" x14ac:dyDescent="0.2">
      <c r="A19" s="3" t="s">
        <v>63</v>
      </c>
      <c r="B19" s="3">
        <v>2549</v>
      </c>
      <c r="C19" s="3">
        <v>2002</v>
      </c>
      <c r="D19" s="3">
        <v>2703</v>
      </c>
      <c r="E19" s="3">
        <v>2263</v>
      </c>
      <c r="F19" s="3">
        <v>1642</v>
      </c>
      <c r="G19" s="3">
        <v>1028</v>
      </c>
      <c r="H19" s="3">
        <v>1310</v>
      </c>
      <c r="I19" s="3">
        <v>1435</v>
      </c>
      <c r="J19" s="3">
        <v>994</v>
      </c>
      <c r="K19" s="3">
        <v>1182</v>
      </c>
      <c r="L19" s="3">
        <v>1672</v>
      </c>
      <c r="M19" s="3">
        <v>1586</v>
      </c>
      <c r="N19" s="3">
        <v>19921</v>
      </c>
      <c r="O19" s="3">
        <v>3559</v>
      </c>
      <c r="P19" s="3">
        <v>1787</v>
      </c>
      <c r="Q19" s="3">
        <v>1464</v>
      </c>
      <c r="R19" s="3">
        <v>4216</v>
      </c>
      <c r="S19" s="3">
        <v>45697</v>
      </c>
      <c r="T19" s="3">
        <v>14646</v>
      </c>
      <c r="U19" s="3">
        <v>2135</v>
      </c>
      <c r="V19" s="3">
        <v>942</v>
      </c>
    </row>
    <row r="20" spans="1:22" x14ac:dyDescent="0.2">
      <c r="A20" s="3" t="s">
        <v>64</v>
      </c>
      <c r="B20" s="3">
        <v>1533</v>
      </c>
      <c r="C20" s="3">
        <v>1076</v>
      </c>
      <c r="D20" s="3">
        <v>2142</v>
      </c>
      <c r="E20" s="3">
        <v>2260</v>
      </c>
      <c r="F20" s="3">
        <v>1527</v>
      </c>
      <c r="G20" s="3">
        <v>768</v>
      </c>
      <c r="H20" s="3">
        <v>1019</v>
      </c>
      <c r="I20" s="3">
        <v>1180</v>
      </c>
      <c r="J20" s="3">
        <v>838</v>
      </c>
      <c r="K20" s="3">
        <v>747</v>
      </c>
      <c r="L20" s="3">
        <v>914</v>
      </c>
      <c r="M20" s="3">
        <v>689</v>
      </c>
      <c r="N20" s="3">
        <v>6031</v>
      </c>
      <c r="O20" s="3">
        <v>5954</v>
      </c>
      <c r="P20" s="3">
        <v>2534</v>
      </c>
      <c r="Q20" s="3">
        <v>1432</v>
      </c>
      <c r="R20" s="3">
        <v>897</v>
      </c>
      <c r="S20" s="3">
        <v>15187</v>
      </c>
      <c r="T20" s="3">
        <v>17865</v>
      </c>
      <c r="U20" s="3">
        <v>9739</v>
      </c>
      <c r="V20" s="3">
        <v>1153</v>
      </c>
    </row>
    <row r="21" spans="1:22" x14ac:dyDescent="0.2">
      <c r="A21" s="3" t="s">
        <v>65</v>
      </c>
      <c r="B21" s="3">
        <v>3131</v>
      </c>
      <c r="C21" s="3">
        <v>1642</v>
      </c>
      <c r="D21" s="3">
        <v>2628</v>
      </c>
      <c r="E21" s="3">
        <v>5138</v>
      </c>
      <c r="F21" s="3">
        <v>4192</v>
      </c>
      <c r="G21" s="3">
        <v>1932</v>
      </c>
      <c r="H21" s="3">
        <v>3474</v>
      </c>
      <c r="I21" s="3">
        <v>3336</v>
      </c>
      <c r="J21" s="3">
        <v>2574</v>
      </c>
      <c r="K21" s="3">
        <v>1253</v>
      </c>
      <c r="L21" s="3">
        <v>1587</v>
      </c>
      <c r="M21" s="3">
        <v>1062</v>
      </c>
      <c r="N21" s="3">
        <v>2770</v>
      </c>
      <c r="O21" s="3">
        <v>3671</v>
      </c>
      <c r="P21" s="3">
        <v>22522</v>
      </c>
      <c r="Q21" s="3">
        <v>10192</v>
      </c>
      <c r="R21" s="3">
        <v>1156</v>
      </c>
      <c r="S21" s="3">
        <v>2039</v>
      </c>
      <c r="T21" s="3">
        <v>8512</v>
      </c>
      <c r="U21" s="3">
        <v>67095</v>
      </c>
      <c r="V21" s="3">
        <v>10352</v>
      </c>
    </row>
    <row r="22" spans="1:22" x14ac:dyDescent="0.2">
      <c r="A22" s="3" t="s">
        <v>66</v>
      </c>
      <c r="B22" s="3">
        <v>1101</v>
      </c>
      <c r="C22" s="3">
        <v>611</v>
      </c>
      <c r="D22" s="3">
        <v>856</v>
      </c>
      <c r="E22" s="3">
        <v>1200</v>
      </c>
      <c r="F22" s="3">
        <v>1914</v>
      </c>
      <c r="G22" s="3">
        <v>842</v>
      </c>
      <c r="H22" s="3">
        <v>972</v>
      </c>
      <c r="I22" s="3">
        <v>1358</v>
      </c>
      <c r="J22" s="3">
        <v>619</v>
      </c>
      <c r="K22" s="3">
        <v>536</v>
      </c>
      <c r="L22" s="3">
        <v>563</v>
      </c>
      <c r="M22" s="3">
        <v>411</v>
      </c>
      <c r="N22" s="3">
        <v>788</v>
      </c>
      <c r="O22" s="3">
        <v>393</v>
      </c>
      <c r="P22" s="3">
        <v>2025</v>
      </c>
      <c r="Q22" s="3">
        <v>6413</v>
      </c>
      <c r="R22" s="3">
        <v>434</v>
      </c>
      <c r="S22" s="3">
        <v>528</v>
      </c>
      <c r="T22" s="3">
        <v>629</v>
      </c>
      <c r="U22" s="3">
        <v>6426</v>
      </c>
      <c r="V22" s="3">
        <v>21458</v>
      </c>
    </row>
    <row r="24" spans="1:22" x14ac:dyDescent="0.2">
      <c r="B24" s="3" t="s">
        <v>46</v>
      </c>
      <c r="C24" s="3" t="s">
        <v>47</v>
      </c>
      <c r="D24" s="3" t="s">
        <v>48</v>
      </c>
      <c r="E24" s="3" t="s">
        <v>49</v>
      </c>
      <c r="F24" s="3" t="s">
        <v>50</v>
      </c>
      <c r="G24" s="3" t="s">
        <v>51</v>
      </c>
      <c r="H24" s="3" t="s">
        <v>52</v>
      </c>
      <c r="I24" s="3" t="s">
        <v>53</v>
      </c>
      <c r="J24" s="3" t="s">
        <v>54</v>
      </c>
      <c r="K24" s="3" t="s">
        <v>55</v>
      </c>
      <c r="L24" s="3" t="s">
        <v>56</v>
      </c>
      <c r="M24" s="3" t="s">
        <v>57</v>
      </c>
      <c r="N24" s="3" t="s">
        <v>58</v>
      </c>
      <c r="O24" s="3" t="s">
        <v>59</v>
      </c>
      <c r="P24" s="3" t="s">
        <v>60</v>
      </c>
      <c r="Q24" s="3" t="s">
        <v>61</v>
      </c>
      <c r="R24" s="3" t="s">
        <v>62</v>
      </c>
      <c r="S24" s="3" t="s">
        <v>63</v>
      </c>
      <c r="T24" s="3" t="s">
        <v>64</v>
      </c>
      <c r="U24" s="3" t="s">
        <v>65</v>
      </c>
      <c r="V24" s="3" t="s">
        <v>66</v>
      </c>
    </row>
    <row r="25" spans="1:22" x14ac:dyDescent="0.2">
      <c r="A25" s="3" t="s">
        <v>46</v>
      </c>
      <c r="B25" s="3">
        <v>44261</v>
      </c>
      <c r="C25" s="3">
        <v>20174</v>
      </c>
      <c r="D25" s="3">
        <v>11024</v>
      </c>
      <c r="E25" s="3">
        <v>9048</v>
      </c>
      <c r="F25" s="3">
        <v>5595</v>
      </c>
      <c r="G25" s="3">
        <v>7731</v>
      </c>
      <c r="H25" s="3">
        <v>19258</v>
      </c>
      <c r="I25" s="3">
        <v>5586</v>
      </c>
      <c r="J25" s="3">
        <v>10357</v>
      </c>
      <c r="K25" s="3">
        <v>15146</v>
      </c>
      <c r="L25" s="3">
        <v>12349</v>
      </c>
      <c r="M25" s="3">
        <v>6523</v>
      </c>
      <c r="N25" s="3">
        <v>8420</v>
      </c>
      <c r="O25" s="3">
        <v>2285</v>
      </c>
      <c r="P25" s="3">
        <v>6755</v>
      </c>
      <c r="Q25" s="3">
        <v>3560</v>
      </c>
      <c r="R25" s="3">
        <v>5695</v>
      </c>
      <c r="S25" s="3">
        <v>2549</v>
      </c>
      <c r="T25" s="3">
        <v>1533</v>
      </c>
      <c r="U25" s="3">
        <v>3131</v>
      </c>
      <c r="V25" s="3">
        <v>1101</v>
      </c>
    </row>
    <row r="26" spans="1:22" x14ac:dyDescent="0.2">
      <c r="A26" s="3" t="s">
        <v>47</v>
      </c>
      <c r="B26" s="3">
        <v>12496</v>
      </c>
      <c r="C26" s="3">
        <v>46291</v>
      </c>
      <c r="D26" s="3">
        <v>8396</v>
      </c>
      <c r="E26" s="3">
        <v>3312</v>
      </c>
      <c r="F26" s="3">
        <v>2545</v>
      </c>
      <c r="G26" s="3">
        <v>2446</v>
      </c>
      <c r="H26" s="3">
        <v>3791</v>
      </c>
      <c r="I26" s="3">
        <v>2505</v>
      </c>
      <c r="J26" s="3">
        <v>3734</v>
      </c>
      <c r="K26" s="3">
        <v>8717</v>
      </c>
      <c r="L26" s="3">
        <v>18782</v>
      </c>
      <c r="M26" s="3">
        <v>17485</v>
      </c>
      <c r="N26" s="3">
        <v>9064</v>
      </c>
      <c r="O26" s="3">
        <v>1359</v>
      </c>
      <c r="P26" s="3">
        <v>2783</v>
      </c>
      <c r="Q26" s="3">
        <v>1918</v>
      </c>
      <c r="R26" s="3">
        <v>5990</v>
      </c>
      <c r="S26" s="3">
        <v>2002</v>
      </c>
      <c r="T26" s="3">
        <v>1076</v>
      </c>
      <c r="U26" s="3">
        <v>1642</v>
      </c>
      <c r="V26" s="3">
        <v>611</v>
      </c>
    </row>
    <row r="27" spans="1:22" x14ac:dyDescent="0.2">
      <c r="A27" s="3" t="s">
        <v>48</v>
      </c>
      <c r="B27" s="3">
        <v>8400</v>
      </c>
      <c r="C27" s="3">
        <v>10220</v>
      </c>
      <c r="D27" s="3">
        <v>30886</v>
      </c>
      <c r="E27" s="3">
        <v>12345</v>
      </c>
      <c r="F27" s="3">
        <v>3715</v>
      </c>
      <c r="G27" s="3">
        <v>3005</v>
      </c>
      <c r="H27" s="3">
        <v>3524</v>
      </c>
      <c r="I27" s="3">
        <v>2849</v>
      </c>
      <c r="J27" s="3">
        <v>2044</v>
      </c>
      <c r="K27" s="3">
        <v>3797</v>
      </c>
      <c r="L27" s="3">
        <v>3781</v>
      </c>
      <c r="M27" s="3">
        <v>2997</v>
      </c>
      <c r="N27" s="3">
        <v>18646</v>
      </c>
      <c r="O27" s="3">
        <v>10292</v>
      </c>
      <c r="P27" s="3">
        <v>6165</v>
      </c>
      <c r="Q27" s="3">
        <v>2756</v>
      </c>
      <c r="R27" s="3">
        <v>3093</v>
      </c>
      <c r="S27" s="3">
        <v>2703</v>
      </c>
      <c r="T27" s="3">
        <v>2142</v>
      </c>
      <c r="U27" s="3">
        <v>2628</v>
      </c>
      <c r="V27" s="3">
        <v>856</v>
      </c>
    </row>
    <row r="28" spans="1:22" x14ac:dyDescent="0.2">
      <c r="A28" s="3" t="s">
        <v>49</v>
      </c>
      <c r="B28" s="3">
        <v>7056</v>
      </c>
      <c r="C28" s="3">
        <v>4617</v>
      </c>
      <c r="D28" s="3">
        <v>12814</v>
      </c>
      <c r="E28" s="3">
        <v>43350</v>
      </c>
      <c r="F28" s="3">
        <v>11840</v>
      </c>
      <c r="G28" s="3">
        <v>5587</v>
      </c>
      <c r="H28" s="3">
        <v>10927</v>
      </c>
      <c r="I28" s="3">
        <v>5167</v>
      </c>
      <c r="J28" s="3">
        <v>3252</v>
      </c>
      <c r="K28" s="3">
        <v>4556</v>
      </c>
      <c r="L28" s="3">
        <v>4308</v>
      </c>
      <c r="M28" s="3">
        <v>2752</v>
      </c>
      <c r="N28" s="3">
        <v>6214</v>
      </c>
      <c r="O28" s="3">
        <v>5401</v>
      </c>
      <c r="P28" s="3">
        <v>22935</v>
      </c>
      <c r="Q28" s="3">
        <v>5439</v>
      </c>
      <c r="R28" s="3">
        <v>2881</v>
      </c>
      <c r="S28" s="3">
        <v>2263</v>
      </c>
      <c r="T28" s="3">
        <v>2260</v>
      </c>
      <c r="U28" s="3">
        <v>5138</v>
      </c>
      <c r="V28" s="3">
        <v>1200</v>
      </c>
    </row>
    <row r="29" spans="1:22" x14ac:dyDescent="0.2">
      <c r="A29" s="3" t="s">
        <v>50</v>
      </c>
      <c r="B29" s="3">
        <v>4905</v>
      </c>
      <c r="C29" s="3">
        <v>3807</v>
      </c>
      <c r="D29" s="3">
        <v>4187</v>
      </c>
      <c r="E29" s="3">
        <v>13158</v>
      </c>
      <c r="F29" s="3">
        <v>42466</v>
      </c>
      <c r="G29" s="3">
        <v>27689</v>
      </c>
      <c r="H29" s="3">
        <v>9760</v>
      </c>
      <c r="I29" s="3">
        <v>17617</v>
      </c>
      <c r="J29" s="3">
        <v>4435</v>
      </c>
      <c r="K29" s="3">
        <v>4974</v>
      </c>
      <c r="L29" s="3">
        <v>3697</v>
      </c>
      <c r="M29" s="3">
        <v>2448</v>
      </c>
      <c r="N29" s="3">
        <v>4388</v>
      </c>
      <c r="O29" s="3">
        <v>2253</v>
      </c>
      <c r="P29" s="3">
        <v>17582</v>
      </c>
      <c r="Q29" s="3">
        <v>14574</v>
      </c>
      <c r="R29" s="3">
        <v>3165</v>
      </c>
      <c r="S29" s="3">
        <v>1642</v>
      </c>
      <c r="T29" s="3">
        <v>1527</v>
      </c>
      <c r="U29" s="3">
        <v>4192</v>
      </c>
      <c r="V29" s="3">
        <v>1914</v>
      </c>
    </row>
    <row r="30" spans="1:22" x14ac:dyDescent="0.2">
      <c r="A30" s="3" t="s">
        <v>51</v>
      </c>
      <c r="B30" s="3">
        <v>4468</v>
      </c>
      <c r="C30" s="3">
        <v>2327</v>
      </c>
      <c r="D30" s="3">
        <v>2333</v>
      </c>
      <c r="E30" s="3">
        <v>4078</v>
      </c>
      <c r="F30" s="3">
        <v>17669</v>
      </c>
      <c r="G30" s="3">
        <v>44567</v>
      </c>
      <c r="H30" s="3">
        <v>11689</v>
      </c>
      <c r="I30" s="3">
        <v>19296</v>
      </c>
      <c r="J30" s="3">
        <v>7064</v>
      </c>
      <c r="K30" s="3">
        <v>3576</v>
      </c>
      <c r="L30" s="3">
        <v>2428</v>
      </c>
      <c r="M30" s="3">
        <v>1406</v>
      </c>
      <c r="N30" s="3">
        <v>2720</v>
      </c>
      <c r="O30" s="3">
        <v>1019</v>
      </c>
      <c r="P30" s="3">
        <v>4064</v>
      </c>
      <c r="Q30" s="3">
        <v>4652</v>
      </c>
      <c r="R30" s="3">
        <v>1781</v>
      </c>
      <c r="S30" s="3">
        <v>1028</v>
      </c>
      <c r="T30" s="3">
        <v>768</v>
      </c>
      <c r="U30" s="3">
        <v>1932</v>
      </c>
      <c r="V30" s="3">
        <v>842</v>
      </c>
    </row>
    <row r="31" spans="1:22" x14ac:dyDescent="0.2">
      <c r="A31" s="3" t="s">
        <v>52</v>
      </c>
      <c r="B31" s="3">
        <v>14320</v>
      </c>
      <c r="C31" s="3">
        <v>4707</v>
      </c>
      <c r="D31" s="3">
        <v>3666</v>
      </c>
      <c r="E31" s="3">
        <v>11072</v>
      </c>
      <c r="F31" s="3">
        <v>8573</v>
      </c>
      <c r="G31" s="3">
        <v>16055</v>
      </c>
      <c r="H31" s="3">
        <v>36647</v>
      </c>
      <c r="I31" s="3">
        <v>7650</v>
      </c>
      <c r="J31" s="3">
        <v>12396</v>
      </c>
      <c r="K31" s="3">
        <v>7482</v>
      </c>
      <c r="L31" s="3">
        <v>4914</v>
      </c>
      <c r="M31" s="3">
        <v>2424</v>
      </c>
      <c r="N31" s="3">
        <v>3618</v>
      </c>
      <c r="O31" s="3">
        <v>1577</v>
      </c>
      <c r="P31" s="3">
        <v>6581</v>
      </c>
      <c r="Q31" s="3">
        <v>3970</v>
      </c>
      <c r="R31" s="3">
        <v>2584</v>
      </c>
      <c r="S31" s="3">
        <v>1310</v>
      </c>
      <c r="T31" s="3">
        <v>1019</v>
      </c>
      <c r="U31" s="3">
        <v>3474</v>
      </c>
      <c r="V31" s="3">
        <v>972</v>
      </c>
    </row>
    <row r="32" spans="1:22" x14ac:dyDescent="0.2">
      <c r="A32" s="3" t="s">
        <v>53</v>
      </c>
      <c r="B32" s="3">
        <v>3184</v>
      </c>
      <c r="C32" s="3">
        <v>2356</v>
      </c>
      <c r="D32" s="3">
        <v>2088</v>
      </c>
      <c r="E32" s="3">
        <v>3635</v>
      </c>
      <c r="F32" s="3">
        <v>11469</v>
      </c>
      <c r="G32" s="3">
        <v>19114</v>
      </c>
      <c r="H32" s="3">
        <v>5435</v>
      </c>
      <c r="I32" s="3">
        <v>128917</v>
      </c>
      <c r="J32" s="3">
        <v>10343</v>
      </c>
      <c r="K32" s="3">
        <v>3910</v>
      </c>
      <c r="L32" s="3">
        <v>2818</v>
      </c>
      <c r="M32" s="3">
        <v>1476</v>
      </c>
      <c r="N32" s="3">
        <v>3053</v>
      </c>
      <c r="O32" s="3">
        <v>1343</v>
      </c>
      <c r="P32" s="3">
        <v>6120</v>
      </c>
      <c r="Q32" s="3">
        <v>17601</v>
      </c>
      <c r="R32" s="3">
        <v>2233</v>
      </c>
      <c r="S32" s="3">
        <v>1435</v>
      </c>
      <c r="T32" s="3">
        <v>1180</v>
      </c>
      <c r="U32" s="3">
        <v>3336</v>
      </c>
      <c r="V32" s="3">
        <v>1358</v>
      </c>
    </row>
    <row r="33" spans="1:22" x14ac:dyDescent="0.2">
      <c r="A33" s="3" t="s">
        <v>54</v>
      </c>
      <c r="B33" s="3">
        <v>8407</v>
      </c>
      <c r="C33" s="3">
        <v>5026</v>
      </c>
      <c r="D33" s="3">
        <v>2200</v>
      </c>
      <c r="E33" s="3">
        <v>3201</v>
      </c>
      <c r="F33" s="3">
        <v>3820</v>
      </c>
      <c r="G33" s="3">
        <v>9712</v>
      </c>
      <c r="H33" s="3">
        <v>12500</v>
      </c>
      <c r="I33" s="3">
        <v>13890</v>
      </c>
      <c r="J33" s="3">
        <v>37765</v>
      </c>
      <c r="K33" s="3">
        <v>25049</v>
      </c>
      <c r="L33" s="3">
        <v>7161</v>
      </c>
      <c r="M33" s="3">
        <v>2596</v>
      </c>
      <c r="N33" s="3">
        <v>2777</v>
      </c>
      <c r="O33" s="3">
        <v>1084</v>
      </c>
      <c r="P33" s="3">
        <v>3710</v>
      </c>
      <c r="Q33" s="3">
        <v>2731</v>
      </c>
      <c r="R33" s="3">
        <v>2494</v>
      </c>
      <c r="S33" s="3">
        <v>994</v>
      </c>
      <c r="T33" s="3">
        <v>838</v>
      </c>
      <c r="U33" s="3">
        <v>2574</v>
      </c>
      <c r="V33" s="3">
        <v>619</v>
      </c>
    </row>
    <row r="34" spans="1:22" x14ac:dyDescent="0.2">
      <c r="A34" s="3" t="s">
        <v>55</v>
      </c>
      <c r="B34" s="3">
        <v>6212</v>
      </c>
      <c r="C34" s="3">
        <v>5874</v>
      </c>
      <c r="D34" s="3">
        <v>1996</v>
      </c>
      <c r="E34" s="3">
        <v>2243</v>
      </c>
      <c r="F34" s="3">
        <v>2289</v>
      </c>
      <c r="G34" s="3">
        <v>2474</v>
      </c>
      <c r="H34" s="3">
        <v>3997</v>
      </c>
      <c r="I34" s="3">
        <v>2687</v>
      </c>
      <c r="J34" s="3">
        <v>12225</v>
      </c>
      <c r="K34" s="3">
        <v>98947</v>
      </c>
      <c r="L34" s="3">
        <v>37215</v>
      </c>
      <c r="M34" s="3">
        <v>4498</v>
      </c>
      <c r="N34" s="3">
        <v>2686</v>
      </c>
      <c r="O34" s="3">
        <v>778</v>
      </c>
      <c r="P34" s="3">
        <v>1860</v>
      </c>
      <c r="Q34" s="3">
        <v>1498</v>
      </c>
      <c r="R34" s="3">
        <v>3261</v>
      </c>
      <c r="S34" s="3">
        <v>1182</v>
      </c>
      <c r="T34" s="3">
        <v>747</v>
      </c>
      <c r="U34" s="3">
        <v>1253</v>
      </c>
      <c r="V34" s="3">
        <v>536</v>
      </c>
    </row>
    <row r="35" spans="1:22" x14ac:dyDescent="0.2">
      <c r="A35" s="3" t="s">
        <v>56</v>
      </c>
      <c r="B35" s="3">
        <v>5607</v>
      </c>
      <c r="C35" s="3">
        <v>13697</v>
      </c>
      <c r="D35" s="3">
        <v>2392</v>
      </c>
      <c r="E35" s="3">
        <v>2340</v>
      </c>
      <c r="F35" s="3">
        <v>1901</v>
      </c>
      <c r="G35" s="3">
        <v>1971</v>
      </c>
      <c r="H35" s="3">
        <v>3034</v>
      </c>
      <c r="I35" s="3">
        <v>2317</v>
      </c>
      <c r="J35" s="3">
        <v>3926</v>
      </c>
      <c r="K35" s="3">
        <v>40979</v>
      </c>
      <c r="L35" s="3">
        <v>116596</v>
      </c>
      <c r="M35" s="3">
        <v>18760</v>
      </c>
      <c r="N35" s="3">
        <v>3978</v>
      </c>
      <c r="O35" s="3">
        <v>1044</v>
      </c>
      <c r="P35" s="3">
        <v>2219</v>
      </c>
      <c r="Q35" s="3">
        <v>1571</v>
      </c>
      <c r="R35" s="3">
        <v>8845</v>
      </c>
      <c r="S35" s="3">
        <v>1672</v>
      </c>
      <c r="T35" s="3">
        <v>914</v>
      </c>
      <c r="U35" s="3">
        <v>1587</v>
      </c>
      <c r="V35" s="3">
        <v>563</v>
      </c>
    </row>
    <row r="36" spans="1:22" x14ac:dyDescent="0.2">
      <c r="A36" s="3" t="s">
        <v>57</v>
      </c>
      <c r="B36" s="3">
        <v>3208</v>
      </c>
      <c r="C36" s="3">
        <v>13389</v>
      </c>
      <c r="D36" s="3">
        <v>1928</v>
      </c>
      <c r="E36" s="3">
        <v>1692</v>
      </c>
      <c r="F36" s="3">
        <v>1372</v>
      </c>
      <c r="G36" s="3">
        <v>1198</v>
      </c>
      <c r="H36" s="3">
        <v>1542</v>
      </c>
      <c r="I36" s="3">
        <v>1391</v>
      </c>
      <c r="J36" s="3">
        <v>1512</v>
      </c>
      <c r="K36" s="3">
        <v>4953</v>
      </c>
      <c r="L36" s="3">
        <v>20113</v>
      </c>
      <c r="M36" s="3">
        <v>49052</v>
      </c>
      <c r="N36" s="3">
        <v>8306</v>
      </c>
      <c r="O36" s="3">
        <v>891</v>
      </c>
      <c r="P36" s="3">
        <v>1637</v>
      </c>
      <c r="Q36" s="3">
        <v>1081</v>
      </c>
      <c r="R36" s="3">
        <v>16049</v>
      </c>
      <c r="S36" s="3">
        <v>1586</v>
      </c>
      <c r="T36" s="3">
        <v>689</v>
      </c>
      <c r="U36" s="3">
        <v>1062</v>
      </c>
      <c r="V36" s="3">
        <v>411</v>
      </c>
    </row>
    <row r="37" spans="1:22" x14ac:dyDescent="0.2">
      <c r="A37" s="3" t="s">
        <v>58</v>
      </c>
      <c r="B37" s="3">
        <v>3999</v>
      </c>
      <c r="C37" s="3">
        <v>6758</v>
      </c>
      <c r="D37" s="3">
        <v>12135</v>
      </c>
      <c r="E37" s="3">
        <v>3659</v>
      </c>
      <c r="F37" s="3">
        <v>2395</v>
      </c>
      <c r="G37" s="3">
        <v>2240</v>
      </c>
      <c r="H37" s="3">
        <v>2170</v>
      </c>
      <c r="I37" s="3">
        <v>2529</v>
      </c>
      <c r="J37" s="3">
        <v>1577</v>
      </c>
      <c r="K37" s="3">
        <v>3118</v>
      </c>
      <c r="L37" s="3">
        <v>4265</v>
      </c>
      <c r="M37" s="3">
        <v>8154</v>
      </c>
      <c r="N37" s="3">
        <v>101272</v>
      </c>
      <c r="O37" s="3">
        <v>13322</v>
      </c>
      <c r="P37" s="3">
        <v>3768</v>
      </c>
      <c r="Q37" s="3">
        <v>2132</v>
      </c>
      <c r="R37" s="3">
        <v>7026</v>
      </c>
      <c r="S37" s="3">
        <v>19921</v>
      </c>
      <c r="T37" s="3">
        <v>6031</v>
      </c>
      <c r="U37" s="3">
        <v>2770</v>
      </c>
      <c r="V37" s="3">
        <v>788</v>
      </c>
    </row>
    <row r="38" spans="1:22" x14ac:dyDescent="0.2">
      <c r="A38" s="3" t="s">
        <v>59</v>
      </c>
      <c r="B38" s="3">
        <v>1240</v>
      </c>
      <c r="C38" s="3">
        <v>1194</v>
      </c>
      <c r="D38" s="3">
        <v>7304</v>
      </c>
      <c r="E38" s="3">
        <v>3553</v>
      </c>
      <c r="F38" s="3">
        <v>1299</v>
      </c>
      <c r="G38" s="3">
        <v>925</v>
      </c>
      <c r="H38" s="3">
        <v>1027</v>
      </c>
      <c r="I38" s="3">
        <v>1237</v>
      </c>
      <c r="J38" s="3">
        <v>685</v>
      </c>
      <c r="K38" s="3">
        <v>1106</v>
      </c>
      <c r="L38" s="3">
        <v>1285</v>
      </c>
      <c r="M38" s="3">
        <v>966</v>
      </c>
      <c r="N38" s="3">
        <v>14593</v>
      </c>
      <c r="O38" s="3">
        <v>25918</v>
      </c>
      <c r="P38" s="3">
        <v>7720</v>
      </c>
      <c r="Q38" s="3">
        <v>1125</v>
      </c>
      <c r="R38" s="3">
        <v>889</v>
      </c>
      <c r="S38" s="3">
        <v>3559</v>
      </c>
      <c r="T38" s="3">
        <v>5954</v>
      </c>
      <c r="U38" s="3">
        <v>3671</v>
      </c>
      <c r="V38" s="3">
        <v>393</v>
      </c>
    </row>
    <row r="39" spans="1:22" x14ac:dyDescent="0.2">
      <c r="A39" s="3" t="s">
        <v>60</v>
      </c>
      <c r="B39" s="3">
        <v>3604</v>
      </c>
      <c r="C39" s="3">
        <v>2470</v>
      </c>
      <c r="D39" s="3">
        <v>4301</v>
      </c>
      <c r="E39" s="3">
        <v>15251</v>
      </c>
      <c r="F39" s="3">
        <v>10648</v>
      </c>
      <c r="G39" s="3">
        <v>3787</v>
      </c>
      <c r="H39" s="3">
        <v>4046</v>
      </c>
      <c r="I39" s="3">
        <v>5658</v>
      </c>
      <c r="J39" s="3">
        <v>2337</v>
      </c>
      <c r="K39" s="3">
        <v>2456</v>
      </c>
      <c r="L39" s="3">
        <v>2558</v>
      </c>
      <c r="M39" s="3">
        <v>1798</v>
      </c>
      <c r="N39" s="3">
        <v>4276</v>
      </c>
      <c r="O39" s="3">
        <v>7944</v>
      </c>
      <c r="P39" s="3">
        <v>73065</v>
      </c>
      <c r="Q39" s="3">
        <v>14123</v>
      </c>
      <c r="R39" s="3">
        <v>2013</v>
      </c>
      <c r="S39" s="3">
        <v>1787</v>
      </c>
      <c r="T39" s="3">
        <v>2534</v>
      </c>
      <c r="U39" s="3">
        <v>22522</v>
      </c>
      <c r="V39" s="3">
        <v>2025</v>
      </c>
    </row>
    <row r="40" spans="1:22" x14ac:dyDescent="0.2">
      <c r="A40" s="3" t="s">
        <v>61</v>
      </c>
      <c r="B40" s="3">
        <v>2085</v>
      </c>
      <c r="C40" s="3">
        <v>1808</v>
      </c>
      <c r="D40" s="3">
        <v>2031</v>
      </c>
      <c r="E40" s="3">
        <v>3925</v>
      </c>
      <c r="F40" s="3">
        <v>9365</v>
      </c>
      <c r="G40" s="3">
        <v>4741</v>
      </c>
      <c r="H40" s="3">
        <v>2752</v>
      </c>
      <c r="I40" s="3">
        <v>17997</v>
      </c>
      <c r="J40" s="3">
        <v>2104</v>
      </c>
      <c r="K40" s="3">
        <v>2094</v>
      </c>
      <c r="L40" s="3">
        <v>1979</v>
      </c>
      <c r="M40" s="3">
        <v>1267</v>
      </c>
      <c r="N40" s="3">
        <v>2657</v>
      </c>
      <c r="O40" s="3">
        <v>1351</v>
      </c>
      <c r="P40" s="3">
        <v>15231</v>
      </c>
      <c r="Q40" s="3">
        <v>88879</v>
      </c>
      <c r="R40" s="3">
        <v>1653</v>
      </c>
      <c r="S40" s="3">
        <v>1464</v>
      </c>
      <c r="T40" s="3">
        <v>1432</v>
      </c>
      <c r="U40" s="3">
        <v>10192</v>
      </c>
      <c r="V40" s="3">
        <v>6413</v>
      </c>
    </row>
    <row r="41" spans="1:22" x14ac:dyDescent="0.2">
      <c r="A41" s="3" t="s">
        <v>62</v>
      </c>
      <c r="B41" s="3">
        <v>2210</v>
      </c>
      <c r="C41" s="3">
        <v>3715</v>
      </c>
      <c r="D41" s="3">
        <v>1647</v>
      </c>
      <c r="E41" s="3">
        <v>1369</v>
      </c>
      <c r="F41" s="3">
        <v>1388</v>
      </c>
      <c r="G41" s="3">
        <v>1206</v>
      </c>
      <c r="H41" s="3">
        <v>1289</v>
      </c>
      <c r="I41" s="3">
        <v>1535</v>
      </c>
      <c r="J41" s="3">
        <v>1182</v>
      </c>
      <c r="K41" s="3">
        <v>3199</v>
      </c>
      <c r="L41" s="3">
        <v>7524</v>
      </c>
      <c r="M41" s="3">
        <v>12872</v>
      </c>
      <c r="N41" s="3">
        <v>5616</v>
      </c>
      <c r="O41" s="3">
        <v>655</v>
      </c>
      <c r="P41" s="3">
        <v>1488</v>
      </c>
      <c r="Q41" s="3">
        <v>1127</v>
      </c>
      <c r="R41" s="3">
        <v>74370</v>
      </c>
      <c r="S41" s="3">
        <v>4216</v>
      </c>
      <c r="T41" s="3">
        <v>897</v>
      </c>
      <c r="U41" s="3">
        <v>1156</v>
      </c>
      <c r="V41" s="3">
        <v>434</v>
      </c>
    </row>
    <row r="42" spans="1:22" x14ac:dyDescent="0.2">
      <c r="A42" s="3" t="s">
        <v>63</v>
      </c>
      <c r="B42" s="3">
        <v>1405</v>
      </c>
      <c r="C42" s="3">
        <v>1901</v>
      </c>
      <c r="D42" s="3">
        <v>2112</v>
      </c>
      <c r="E42" s="3">
        <v>1561</v>
      </c>
      <c r="F42" s="3">
        <v>1055</v>
      </c>
      <c r="G42" s="3">
        <v>986</v>
      </c>
      <c r="H42" s="3">
        <v>885</v>
      </c>
      <c r="I42" s="3">
        <v>1437</v>
      </c>
      <c r="J42" s="3">
        <v>673</v>
      </c>
      <c r="K42" s="3">
        <v>1691</v>
      </c>
      <c r="L42" s="3">
        <v>2064</v>
      </c>
      <c r="M42" s="3">
        <v>1924</v>
      </c>
      <c r="N42" s="3">
        <v>24179</v>
      </c>
      <c r="O42" s="3">
        <v>3901</v>
      </c>
      <c r="P42" s="3">
        <v>1867</v>
      </c>
      <c r="Q42" s="3">
        <v>1424</v>
      </c>
      <c r="R42" s="3">
        <v>6402</v>
      </c>
      <c r="S42" s="3">
        <v>45697</v>
      </c>
      <c r="T42" s="3">
        <v>15187</v>
      </c>
      <c r="U42" s="3">
        <v>2039</v>
      </c>
      <c r="V42" s="3">
        <v>528</v>
      </c>
    </row>
    <row r="43" spans="1:22" x14ac:dyDescent="0.2">
      <c r="A43" s="3" t="s">
        <v>64</v>
      </c>
      <c r="B43" s="3">
        <v>857</v>
      </c>
      <c r="C43" s="3">
        <v>1015</v>
      </c>
      <c r="D43" s="3">
        <v>1768</v>
      </c>
      <c r="E43" s="3">
        <v>1586</v>
      </c>
      <c r="F43" s="3">
        <v>986</v>
      </c>
      <c r="G43" s="3">
        <v>745</v>
      </c>
      <c r="H43" s="3">
        <v>715</v>
      </c>
      <c r="I43" s="3">
        <v>1131</v>
      </c>
      <c r="J43" s="3">
        <v>555</v>
      </c>
      <c r="K43" s="3">
        <v>1061</v>
      </c>
      <c r="L43" s="3">
        <v>1141</v>
      </c>
      <c r="M43" s="3">
        <v>787</v>
      </c>
      <c r="N43" s="3">
        <v>7189</v>
      </c>
      <c r="O43" s="3">
        <v>6223</v>
      </c>
      <c r="P43" s="3">
        <v>2650</v>
      </c>
      <c r="Q43" s="3">
        <v>1337</v>
      </c>
      <c r="R43" s="3">
        <v>1394</v>
      </c>
      <c r="S43" s="3">
        <v>14646</v>
      </c>
      <c r="T43" s="3">
        <v>17865</v>
      </c>
      <c r="U43" s="3">
        <v>8512</v>
      </c>
      <c r="V43" s="3">
        <v>629</v>
      </c>
    </row>
    <row r="44" spans="1:22" x14ac:dyDescent="0.2">
      <c r="A44" s="3" t="s">
        <v>65</v>
      </c>
      <c r="B44" s="3">
        <v>2060</v>
      </c>
      <c r="C44" s="3">
        <v>1801</v>
      </c>
      <c r="D44" s="3">
        <v>2189</v>
      </c>
      <c r="E44" s="3">
        <v>4056</v>
      </c>
      <c r="F44" s="3">
        <v>3101</v>
      </c>
      <c r="G44" s="3">
        <v>2135</v>
      </c>
      <c r="H44" s="3">
        <v>2475</v>
      </c>
      <c r="I44" s="3">
        <v>3700</v>
      </c>
      <c r="J44" s="3">
        <v>1765</v>
      </c>
      <c r="K44" s="3">
        <v>1949</v>
      </c>
      <c r="L44" s="3">
        <v>2279</v>
      </c>
      <c r="M44" s="3">
        <v>1378</v>
      </c>
      <c r="N44" s="3">
        <v>3636</v>
      </c>
      <c r="O44" s="3">
        <v>4350</v>
      </c>
      <c r="P44" s="3">
        <v>24873</v>
      </c>
      <c r="Q44" s="3">
        <v>10842</v>
      </c>
      <c r="R44" s="3">
        <v>1823</v>
      </c>
      <c r="S44" s="3">
        <v>2135</v>
      </c>
      <c r="T44" s="3">
        <v>9739</v>
      </c>
      <c r="U44" s="3">
        <v>67095</v>
      </c>
      <c r="V44" s="3">
        <v>6426</v>
      </c>
    </row>
    <row r="45" spans="1:22" x14ac:dyDescent="0.2">
      <c r="A45" s="3" t="s">
        <v>66</v>
      </c>
      <c r="B45" s="3">
        <v>1252</v>
      </c>
      <c r="C45" s="3">
        <v>1096</v>
      </c>
      <c r="D45" s="3">
        <v>1160</v>
      </c>
      <c r="E45" s="3">
        <v>1582</v>
      </c>
      <c r="F45" s="3">
        <v>2209</v>
      </c>
      <c r="G45" s="3">
        <v>1535</v>
      </c>
      <c r="H45" s="3">
        <v>1204</v>
      </c>
      <c r="I45" s="3">
        <v>2596</v>
      </c>
      <c r="J45" s="3">
        <v>903</v>
      </c>
      <c r="K45" s="3">
        <v>1395</v>
      </c>
      <c r="L45" s="3">
        <v>1376</v>
      </c>
      <c r="M45" s="3">
        <v>891</v>
      </c>
      <c r="N45" s="3">
        <v>1769</v>
      </c>
      <c r="O45" s="3">
        <v>820</v>
      </c>
      <c r="P45" s="3">
        <v>3745</v>
      </c>
      <c r="Q45" s="3">
        <v>10888</v>
      </c>
      <c r="R45" s="3">
        <v>1167</v>
      </c>
      <c r="S45" s="3">
        <v>942</v>
      </c>
      <c r="T45" s="3">
        <v>1153</v>
      </c>
      <c r="U45" s="3">
        <v>10352</v>
      </c>
      <c r="V45" s="3">
        <v>21458</v>
      </c>
    </row>
    <row r="47" spans="1:22" x14ac:dyDescent="0.2">
      <c r="B47" s="3" t="s">
        <v>46</v>
      </c>
      <c r="C47" s="3" t="s">
        <v>47</v>
      </c>
      <c r="D47" s="3" t="s">
        <v>48</v>
      </c>
      <c r="E47" s="3" t="s">
        <v>49</v>
      </c>
      <c r="F47" s="3" t="s">
        <v>50</v>
      </c>
      <c r="G47" s="3" t="s">
        <v>51</v>
      </c>
      <c r="H47" s="3" t="s">
        <v>52</v>
      </c>
      <c r="I47" s="3" t="s">
        <v>53</v>
      </c>
      <c r="J47" s="3" t="s">
        <v>54</v>
      </c>
      <c r="K47" s="3" t="s">
        <v>55</v>
      </c>
      <c r="L47" s="3" t="s">
        <v>56</v>
      </c>
      <c r="M47" s="3" t="s">
        <v>57</v>
      </c>
      <c r="N47" s="3" t="s">
        <v>58</v>
      </c>
      <c r="O47" s="3" t="s">
        <v>59</v>
      </c>
      <c r="P47" s="3" t="s">
        <v>60</v>
      </c>
      <c r="Q47" s="3" t="s">
        <v>61</v>
      </c>
      <c r="R47" s="3" t="s">
        <v>62</v>
      </c>
      <c r="S47" s="3" t="s">
        <v>63</v>
      </c>
      <c r="T47" s="3" t="s">
        <v>64</v>
      </c>
      <c r="U47" s="3" t="s">
        <v>65</v>
      </c>
      <c r="V47" s="3" t="s">
        <v>66</v>
      </c>
    </row>
    <row r="48" spans="1:22" x14ac:dyDescent="0.2">
      <c r="A48" s="3" t="s">
        <v>46</v>
      </c>
      <c r="B48" s="6">
        <f>(B2+B25)/2</f>
        <v>44261</v>
      </c>
      <c r="C48" s="6">
        <f t="shared" ref="C48:V48" si="0">(C2+C25)/2</f>
        <v>16335</v>
      </c>
      <c r="D48" s="6">
        <f t="shared" si="0"/>
        <v>9712</v>
      </c>
      <c r="E48" s="6">
        <f t="shared" si="0"/>
        <v>8052</v>
      </c>
      <c r="F48" s="6">
        <f t="shared" si="0"/>
        <v>5250</v>
      </c>
      <c r="G48" s="6">
        <f t="shared" si="0"/>
        <v>6099.5</v>
      </c>
      <c r="H48" s="6">
        <f t="shared" si="0"/>
        <v>16789</v>
      </c>
      <c r="I48" s="6">
        <f t="shared" si="0"/>
        <v>4385</v>
      </c>
      <c r="J48" s="6">
        <f t="shared" si="0"/>
        <v>9382</v>
      </c>
      <c r="K48" s="6">
        <f t="shared" si="0"/>
        <v>10679</v>
      </c>
      <c r="L48" s="6">
        <f t="shared" si="0"/>
        <v>8978</v>
      </c>
      <c r="M48" s="6">
        <f t="shared" si="0"/>
        <v>4865.5</v>
      </c>
      <c r="N48" s="6">
        <f t="shared" si="0"/>
        <v>6209.5</v>
      </c>
      <c r="O48" s="6">
        <f t="shared" si="0"/>
        <v>1762.5</v>
      </c>
      <c r="P48" s="6">
        <f t="shared" si="0"/>
        <v>5179.5</v>
      </c>
      <c r="Q48" s="6">
        <f t="shared" si="0"/>
        <v>2822.5</v>
      </c>
      <c r="R48" s="6">
        <f t="shared" si="0"/>
        <v>3952.5</v>
      </c>
      <c r="S48" s="6">
        <f t="shared" si="0"/>
        <v>1977</v>
      </c>
      <c r="T48" s="6">
        <f t="shared" si="0"/>
        <v>1195</v>
      </c>
      <c r="U48" s="6">
        <f t="shared" si="0"/>
        <v>2595.5</v>
      </c>
      <c r="V48" s="6">
        <f t="shared" si="0"/>
        <v>1176.5</v>
      </c>
    </row>
    <row r="49" spans="1:22" x14ac:dyDescent="0.2">
      <c r="A49" s="3" t="s">
        <v>47</v>
      </c>
      <c r="B49" s="6">
        <f t="shared" ref="B49:V61" si="1">(B3+B26)/2</f>
        <v>16335</v>
      </c>
      <c r="C49" s="6">
        <f t="shared" si="1"/>
        <v>46291</v>
      </c>
      <c r="D49" s="6">
        <f t="shared" si="1"/>
        <v>9308</v>
      </c>
      <c r="E49" s="6">
        <f t="shared" si="1"/>
        <v>3964.5</v>
      </c>
      <c r="F49" s="6">
        <f t="shared" si="1"/>
        <v>3176</v>
      </c>
      <c r="G49" s="6">
        <f t="shared" si="1"/>
        <v>2386.5</v>
      </c>
      <c r="H49" s="6">
        <f t="shared" si="1"/>
        <v>4249</v>
      </c>
      <c r="I49" s="6">
        <f t="shared" si="1"/>
        <v>2430.5</v>
      </c>
      <c r="J49" s="6">
        <f t="shared" si="1"/>
        <v>4380</v>
      </c>
      <c r="K49" s="6">
        <f t="shared" si="1"/>
        <v>7295.5</v>
      </c>
      <c r="L49" s="6">
        <f t="shared" si="1"/>
        <v>16239.5</v>
      </c>
      <c r="M49" s="6">
        <f t="shared" si="1"/>
        <v>15437</v>
      </c>
      <c r="N49" s="6">
        <f t="shared" si="1"/>
        <v>7911</v>
      </c>
      <c r="O49" s="6">
        <f t="shared" si="1"/>
        <v>1276.5</v>
      </c>
      <c r="P49" s="6">
        <f t="shared" si="1"/>
        <v>2626.5</v>
      </c>
      <c r="Q49" s="6">
        <f t="shared" si="1"/>
        <v>1863</v>
      </c>
      <c r="R49" s="6">
        <f t="shared" si="1"/>
        <v>4852.5</v>
      </c>
      <c r="S49" s="6">
        <f t="shared" si="1"/>
        <v>1951.5</v>
      </c>
      <c r="T49" s="6">
        <f t="shared" si="1"/>
        <v>1045.5</v>
      </c>
      <c r="U49" s="6">
        <f t="shared" si="1"/>
        <v>1721.5</v>
      </c>
      <c r="V49" s="6">
        <f t="shared" si="1"/>
        <v>853.5</v>
      </c>
    </row>
    <row r="50" spans="1:22" x14ac:dyDescent="0.2">
      <c r="A50" s="3" t="s">
        <v>48</v>
      </c>
      <c r="B50" s="6">
        <f t="shared" si="1"/>
        <v>9712</v>
      </c>
      <c r="C50" s="6">
        <f t="shared" si="1"/>
        <v>9308</v>
      </c>
      <c r="D50" s="6">
        <f t="shared" si="1"/>
        <v>30886</v>
      </c>
      <c r="E50" s="6">
        <f t="shared" si="1"/>
        <v>12579.5</v>
      </c>
      <c r="F50" s="6">
        <f t="shared" si="1"/>
        <v>3951</v>
      </c>
      <c r="G50" s="6">
        <f t="shared" si="1"/>
        <v>2669</v>
      </c>
      <c r="H50" s="6">
        <f t="shared" si="1"/>
        <v>3595</v>
      </c>
      <c r="I50" s="6">
        <f t="shared" si="1"/>
        <v>2468.5</v>
      </c>
      <c r="J50" s="6">
        <f t="shared" si="1"/>
        <v>2122</v>
      </c>
      <c r="K50" s="6">
        <f t="shared" si="1"/>
        <v>2896.5</v>
      </c>
      <c r="L50" s="6">
        <f t="shared" si="1"/>
        <v>3086.5</v>
      </c>
      <c r="M50" s="6">
        <f t="shared" si="1"/>
        <v>2462.5</v>
      </c>
      <c r="N50" s="6">
        <f t="shared" si="1"/>
        <v>15390.5</v>
      </c>
      <c r="O50" s="6">
        <f t="shared" si="1"/>
        <v>8798</v>
      </c>
      <c r="P50" s="6">
        <f t="shared" si="1"/>
        <v>5233</v>
      </c>
      <c r="Q50" s="6">
        <f t="shared" si="1"/>
        <v>2393.5</v>
      </c>
      <c r="R50" s="6">
        <f t="shared" si="1"/>
        <v>2370</v>
      </c>
      <c r="S50" s="6">
        <f t="shared" si="1"/>
        <v>2407.5</v>
      </c>
      <c r="T50" s="6">
        <f t="shared" si="1"/>
        <v>1955</v>
      </c>
      <c r="U50" s="6">
        <f t="shared" si="1"/>
        <v>2408.5</v>
      </c>
      <c r="V50" s="6">
        <f t="shared" si="1"/>
        <v>1008</v>
      </c>
    </row>
    <row r="51" spans="1:22" x14ac:dyDescent="0.2">
      <c r="A51" s="3" t="s">
        <v>49</v>
      </c>
      <c r="B51" s="6">
        <f t="shared" si="1"/>
        <v>8052</v>
      </c>
      <c r="C51" s="6">
        <f t="shared" si="1"/>
        <v>3964.5</v>
      </c>
      <c r="D51" s="6">
        <f t="shared" si="1"/>
        <v>12579.5</v>
      </c>
      <c r="E51" s="6">
        <f t="shared" si="1"/>
        <v>43350</v>
      </c>
      <c r="F51" s="6">
        <f t="shared" si="1"/>
        <v>12499</v>
      </c>
      <c r="G51" s="6">
        <f t="shared" si="1"/>
        <v>4832.5</v>
      </c>
      <c r="H51" s="6">
        <f t="shared" si="1"/>
        <v>10999.5</v>
      </c>
      <c r="I51" s="6">
        <f t="shared" si="1"/>
        <v>4401</v>
      </c>
      <c r="J51" s="6">
        <f t="shared" si="1"/>
        <v>3226.5</v>
      </c>
      <c r="K51" s="6">
        <f t="shared" si="1"/>
        <v>3399.5</v>
      </c>
      <c r="L51" s="6">
        <f t="shared" si="1"/>
        <v>3324</v>
      </c>
      <c r="M51" s="6">
        <f t="shared" si="1"/>
        <v>2222</v>
      </c>
      <c r="N51" s="6">
        <f t="shared" si="1"/>
        <v>4936.5</v>
      </c>
      <c r="O51" s="6">
        <f t="shared" si="1"/>
        <v>4477</v>
      </c>
      <c r="P51" s="6">
        <f t="shared" si="1"/>
        <v>19093</v>
      </c>
      <c r="Q51" s="6">
        <f t="shared" si="1"/>
        <v>4682</v>
      </c>
      <c r="R51" s="6">
        <f t="shared" si="1"/>
        <v>2125</v>
      </c>
      <c r="S51" s="6">
        <f t="shared" si="1"/>
        <v>1912</v>
      </c>
      <c r="T51" s="6">
        <f t="shared" si="1"/>
        <v>1923</v>
      </c>
      <c r="U51" s="6">
        <f t="shared" si="1"/>
        <v>4597</v>
      </c>
      <c r="V51" s="6">
        <f t="shared" si="1"/>
        <v>1391</v>
      </c>
    </row>
    <row r="52" spans="1:22" x14ac:dyDescent="0.2">
      <c r="A52" s="3" t="s">
        <v>50</v>
      </c>
      <c r="B52" s="6">
        <f t="shared" si="1"/>
        <v>5250</v>
      </c>
      <c r="C52" s="6">
        <f t="shared" si="1"/>
        <v>3176</v>
      </c>
      <c r="D52" s="6">
        <f t="shared" si="1"/>
        <v>3951</v>
      </c>
      <c r="E52" s="6">
        <f t="shared" si="1"/>
        <v>12499</v>
      </c>
      <c r="F52" s="6">
        <f t="shared" si="1"/>
        <v>42466</v>
      </c>
      <c r="G52" s="6">
        <f t="shared" si="1"/>
        <v>22679</v>
      </c>
      <c r="H52" s="6">
        <f t="shared" si="1"/>
        <v>9166.5</v>
      </c>
      <c r="I52" s="6">
        <f t="shared" si="1"/>
        <v>14543</v>
      </c>
      <c r="J52" s="6">
        <f t="shared" si="1"/>
        <v>4127.5</v>
      </c>
      <c r="K52" s="6">
        <f t="shared" si="1"/>
        <v>3631.5</v>
      </c>
      <c r="L52" s="6">
        <f t="shared" si="1"/>
        <v>2799</v>
      </c>
      <c r="M52" s="6">
        <f t="shared" si="1"/>
        <v>1910</v>
      </c>
      <c r="N52" s="6">
        <f t="shared" si="1"/>
        <v>3391.5</v>
      </c>
      <c r="O52" s="6">
        <f t="shared" si="1"/>
        <v>1776</v>
      </c>
      <c r="P52" s="6">
        <f t="shared" si="1"/>
        <v>14115</v>
      </c>
      <c r="Q52" s="6">
        <f t="shared" si="1"/>
        <v>11969.5</v>
      </c>
      <c r="R52" s="6">
        <f t="shared" si="1"/>
        <v>2276.5</v>
      </c>
      <c r="S52" s="6">
        <f t="shared" si="1"/>
        <v>1348.5</v>
      </c>
      <c r="T52" s="6">
        <f t="shared" si="1"/>
        <v>1256.5</v>
      </c>
      <c r="U52" s="6">
        <f t="shared" si="1"/>
        <v>3646.5</v>
      </c>
      <c r="V52" s="6">
        <f t="shared" si="1"/>
        <v>2061.5</v>
      </c>
    </row>
    <row r="53" spans="1:22" x14ac:dyDescent="0.2">
      <c r="A53" s="3" t="s">
        <v>51</v>
      </c>
      <c r="B53" s="6">
        <f t="shared" si="1"/>
        <v>6099.5</v>
      </c>
      <c r="C53" s="6">
        <f t="shared" si="1"/>
        <v>2386.5</v>
      </c>
      <c r="D53" s="6">
        <f t="shared" si="1"/>
        <v>2669</v>
      </c>
      <c r="E53" s="6">
        <f t="shared" si="1"/>
        <v>4832.5</v>
      </c>
      <c r="F53" s="6">
        <f t="shared" si="1"/>
        <v>22679</v>
      </c>
      <c r="G53" s="6">
        <f t="shared" si="1"/>
        <v>44567</v>
      </c>
      <c r="H53" s="6">
        <f t="shared" si="1"/>
        <v>13872</v>
      </c>
      <c r="I53" s="6">
        <f t="shared" si="1"/>
        <v>19205</v>
      </c>
      <c r="J53" s="6">
        <f t="shared" si="1"/>
        <v>8388</v>
      </c>
      <c r="K53" s="6">
        <f t="shared" si="1"/>
        <v>3025</v>
      </c>
      <c r="L53" s="6">
        <f t="shared" si="1"/>
        <v>2199.5</v>
      </c>
      <c r="M53" s="6">
        <f t="shared" si="1"/>
        <v>1302</v>
      </c>
      <c r="N53" s="6">
        <f t="shared" si="1"/>
        <v>2480</v>
      </c>
      <c r="O53" s="6">
        <f t="shared" si="1"/>
        <v>972</v>
      </c>
      <c r="P53" s="6">
        <f t="shared" si="1"/>
        <v>3925.5</v>
      </c>
      <c r="Q53" s="6">
        <f t="shared" si="1"/>
        <v>4696.5</v>
      </c>
      <c r="R53" s="6">
        <f t="shared" si="1"/>
        <v>1493.5</v>
      </c>
      <c r="S53" s="6">
        <f t="shared" si="1"/>
        <v>1007</v>
      </c>
      <c r="T53" s="6">
        <f t="shared" si="1"/>
        <v>756.5</v>
      </c>
      <c r="U53" s="6">
        <f t="shared" si="1"/>
        <v>2033.5</v>
      </c>
      <c r="V53" s="6">
        <f t="shared" si="1"/>
        <v>1188.5</v>
      </c>
    </row>
    <row r="54" spans="1:22" x14ac:dyDescent="0.2">
      <c r="A54" s="3" t="s">
        <v>52</v>
      </c>
      <c r="B54" s="6">
        <f t="shared" si="1"/>
        <v>16789</v>
      </c>
      <c r="C54" s="6">
        <f t="shared" si="1"/>
        <v>4249</v>
      </c>
      <c r="D54" s="6">
        <f t="shared" si="1"/>
        <v>3595</v>
      </c>
      <c r="E54" s="6">
        <f t="shared" si="1"/>
        <v>10999.5</v>
      </c>
      <c r="F54" s="6">
        <f t="shared" si="1"/>
        <v>9166.5</v>
      </c>
      <c r="G54" s="6">
        <f t="shared" si="1"/>
        <v>13872</v>
      </c>
      <c r="H54" s="6">
        <f t="shared" si="1"/>
        <v>36647</v>
      </c>
      <c r="I54" s="6">
        <f t="shared" si="1"/>
        <v>6542.5</v>
      </c>
      <c r="J54" s="6">
        <f t="shared" si="1"/>
        <v>12448</v>
      </c>
      <c r="K54" s="6">
        <f t="shared" si="1"/>
        <v>5739.5</v>
      </c>
      <c r="L54" s="6">
        <f t="shared" si="1"/>
        <v>3974</v>
      </c>
      <c r="M54" s="6">
        <f t="shared" si="1"/>
        <v>1983</v>
      </c>
      <c r="N54" s="6">
        <f t="shared" si="1"/>
        <v>2894</v>
      </c>
      <c r="O54" s="6">
        <f t="shared" si="1"/>
        <v>1302</v>
      </c>
      <c r="P54" s="6">
        <f t="shared" si="1"/>
        <v>5313.5</v>
      </c>
      <c r="Q54" s="6">
        <f t="shared" si="1"/>
        <v>3361</v>
      </c>
      <c r="R54" s="6">
        <f t="shared" si="1"/>
        <v>1936.5</v>
      </c>
      <c r="S54" s="6">
        <f t="shared" si="1"/>
        <v>1097.5</v>
      </c>
      <c r="T54" s="6">
        <f t="shared" si="1"/>
        <v>867</v>
      </c>
      <c r="U54" s="6">
        <f t="shared" si="1"/>
        <v>2974.5</v>
      </c>
      <c r="V54" s="6">
        <f t="shared" si="1"/>
        <v>1088</v>
      </c>
    </row>
    <row r="55" spans="1:22" x14ac:dyDescent="0.2">
      <c r="A55" s="3" t="s">
        <v>53</v>
      </c>
      <c r="B55" s="6">
        <f t="shared" si="1"/>
        <v>4385</v>
      </c>
      <c r="C55" s="6">
        <f t="shared" si="1"/>
        <v>2430.5</v>
      </c>
      <c r="D55" s="6">
        <f t="shared" si="1"/>
        <v>2468.5</v>
      </c>
      <c r="E55" s="6">
        <f t="shared" si="1"/>
        <v>4401</v>
      </c>
      <c r="F55" s="6">
        <f t="shared" si="1"/>
        <v>14543</v>
      </c>
      <c r="G55" s="6">
        <f t="shared" si="1"/>
        <v>19205</v>
      </c>
      <c r="H55" s="6">
        <f t="shared" si="1"/>
        <v>6542.5</v>
      </c>
      <c r="I55" s="6">
        <f t="shared" si="1"/>
        <v>128917</v>
      </c>
      <c r="J55" s="6">
        <f t="shared" si="1"/>
        <v>12116.5</v>
      </c>
      <c r="K55" s="6">
        <f t="shared" si="1"/>
        <v>3298.5</v>
      </c>
      <c r="L55" s="6">
        <f t="shared" si="1"/>
        <v>2567.5</v>
      </c>
      <c r="M55" s="6">
        <f t="shared" si="1"/>
        <v>1433.5</v>
      </c>
      <c r="N55" s="6">
        <f t="shared" si="1"/>
        <v>2791</v>
      </c>
      <c r="O55" s="6">
        <f t="shared" si="1"/>
        <v>1290</v>
      </c>
      <c r="P55" s="6">
        <f t="shared" si="1"/>
        <v>5889</v>
      </c>
      <c r="Q55" s="6">
        <f t="shared" si="1"/>
        <v>17799</v>
      </c>
      <c r="R55" s="6">
        <f t="shared" si="1"/>
        <v>1884</v>
      </c>
      <c r="S55" s="6">
        <f t="shared" si="1"/>
        <v>1436</v>
      </c>
      <c r="T55" s="6">
        <f t="shared" si="1"/>
        <v>1155.5</v>
      </c>
      <c r="U55" s="6">
        <f t="shared" si="1"/>
        <v>3518</v>
      </c>
      <c r="V55" s="6">
        <f t="shared" si="1"/>
        <v>1977</v>
      </c>
    </row>
    <row r="56" spans="1:22" x14ac:dyDescent="0.2">
      <c r="A56" s="3" t="s">
        <v>54</v>
      </c>
      <c r="B56" s="6">
        <f t="shared" si="1"/>
        <v>9382</v>
      </c>
      <c r="C56" s="6">
        <f t="shared" si="1"/>
        <v>4380</v>
      </c>
      <c r="D56" s="6">
        <f t="shared" si="1"/>
        <v>2122</v>
      </c>
      <c r="E56" s="6">
        <f t="shared" si="1"/>
        <v>3226.5</v>
      </c>
      <c r="F56" s="6">
        <f t="shared" si="1"/>
        <v>4127.5</v>
      </c>
      <c r="G56" s="6">
        <f t="shared" si="1"/>
        <v>8388</v>
      </c>
      <c r="H56" s="6">
        <f t="shared" si="1"/>
        <v>12448</v>
      </c>
      <c r="I56" s="6">
        <f t="shared" si="1"/>
        <v>12116.5</v>
      </c>
      <c r="J56" s="6">
        <f t="shared" si="1"/>
        <v>37765</v>
      </c>
      <c r="K56" s="6">
        <f t="shared" si="1"/>
        <v>18637</v>
      </c>
      <c r="L56" s="6">
        <f t="shared" si="1"/>
        <v>5543.5</v>
      </c>
      <c r="M56" s="6">
        <f t="shared" si="1"/>
        <v>2054</v>
      </c>
      <c r="N56" s="6">
        <f t="shared" si="1"/>
        <v>2177</v>
      </c>
      <c r="O56" s="6">
        <f t="shared" si="1"/>
        <v>884.5</v>
      </c>
      <c r="P56" s="6">
        <f t="shared" si="1"/>
        <v>3023.5</v>
      </c>
      <c r="Q56" s="6">
        <f t="shared" si="1"/>
        <v>2417.5</v>
      </c>
      <c r="R56" s="6">
        <f t="shared" si="1"/>
        <v>1838</v>
      </c>
      <c r="S56" s="6">
        <f t="shared" si="1"/>
        <v>833.5</v>
      </c>
      <c r="T56" s="6">
        <f t="shared" si="1"/>
        <v>696.5</v>
      </c>
      <c r="U56" s="6">
        <f t="shared" si="1"/>
        <v>2169.5</v>
      </c>
      <c r="V56" s="6">
        <f t="shared" si="1"/>
        <v>761</v>
      </c>
    </row>
    <row r="57" spans="1:22" x14ac:dyDescent="0.2">
      <c r="A57" s="3" t="s">
        <v>55</v>
      </c>
      <c r="B57" s="6">
        <f t="shared" si="1"/>
        <v>10679</v>
      </c>
      <c r="C57" s="6">
        <f t="shared" si="1"/>
        <v>7295.5</v>
      </c>
      <c r="D57" s="6">
        <f t="shared" si="1"/>
        <v>2896.5</v>
      </c>
      <c r="E57" s="6">
        <f t="shared" si="1"/>
        <v>3399.5</v>
      </c>
      <c r="F57" s="6">
        <f t="shared" si="1"/>
        <v>3631.5</v>
      </c>
      <c r="G57" s="6">
        <f t="shared" si="1"/>
        <v>3025</v>
      </c>
      <c r="H57" s="6">
        <f t="shared" si="1"/>
        <v>5739.5</v>
      </c>
      <c r="I57" s="6">
        <f t="shared" si="1"/>
        <v>3298.5</v>
      </c>
      <c r="J57" s="6">
        <f t="shared" si="1"/>
        <v>18637</v>
      </c>
      <c r="K57" s="6">
        <f t="shared" si="1"/>
        <v>98947</v>
      </c>
      <c r="L57" s="6">
        <f t="shared" si="1"/>
        <v>39097</v>
      </c>
      <c r="M57" s="6">
        <f t="shared" si="1"/>
        <v>4725.5</v>
      </c>
      <c r="N57" s="6">
        <f t="shared" si="1"/>
        <v>2902</v>
      </c>
      <c r="O57" s="6">
        <f t="shared" si="1"/>
        <v>942</v>
      </c>
      <c r="P57" s="6">
        <f t="shared" si="1"/>
        <v>2158</v>
      </c>
      <c r="Q57" s="6">
        <f t="shared" si="1"/>
        <v>1796</v>
      </c>
      <c r="R57" s="6">
        <f t="shared" si="1"/>
        <v>3230</v>
      </c>
      <c r="S57" s="6">
        <f t="shared" si="1"/>
        <v>1436.5</v>
      </c>
      <c r="T57" s="6">
        <f t="shared" si="1"/>
        <v>904</v>
      </c>
      <c r="U57" s="6">
        <f t="shared" si="1"/>
        <v>1601</v>
      </c>
      <c r="V57" s="6">
        <f t="shared" si="1"/>
        <v>965.5</v>
      </c>
    </row>
    <row r="58" spans="1:22" x14ac:dyDescent="0.2">
      <c r="A58" s="3" t="s">
        <v>56</v>
      </c>
      <c r="B58" s="6">
        <f t="shared" si="1"/>
        <v>8978</v>
      </c>
      <c r="C58" s="6">
        <f t="shared" si="1"/>
        <v>16239.5</v>
      </c>
      <c r="D58" s="6">
        <f t="shared" si="1"/>
        <v>3086.5</v>
      </c>
      <c r="E58" s="6">
        <f t="shared" si="1"/>
        <v>3324</v>
      </c>
      <c r="F58" s="6">
        <f t="shared" si="1"/>
        <v>2799</v>
      </c>
      <c r="G58" s="6">
        <f t="shared" si="1"/>
        <v>2199.5</v>
      </c>
      <c r="H58" s="6">
        <f t="shared" si="1"/>
        <v>3974</v>
      </c>
      <c r="I58" s="6">
        <f t="shared" si="1"/>
        <v>2567.5</v>
      </c>
      <c r="J58" s="6">
        <f t="shared" si="1"/>
        <v>5543.5</v>
      </c>
      <c r="K58" s="6">
        <f t="shared" si="1"/>
        <v>39097</v>
      </c>
      <c r="L58" s="6">
        <f t="shared" si="1"/>
        <v>116596</v>
      </c>
      <c r="M58" s="6">
        <f t="shared" si="1"/>
        <v>19436.5</v>
      </c>
      <c r="N58" s="6">
        <f t="shared" si="1"/>
        <v>4121.5</v>
      </c>
      <c r="O58" s="6">
        <f t="shared" si="1"/>
        <v>1164.5</v>
      </c>
      <c r="P58" s="6">
        <f t="shared" si="1"/>
        <v>2388.5</v>
      </c>
      <c r="Q58" s="6">
        <f t="shared" si="1"/>
        <v>1775</v>
      </c>
      <c r="R58" s="6">
        <f t="shared" si="1"/>
        <v>8184.5</v>
      </c>
      <c r="S58" s="6">
        <f t="shared" si="1"/>
        <v>1868</v>
      </c>
      <c r="T58" s="6">
        <f t="shared" si="1"/>
        <v>1027.5</v>
      </c>
      <c r="U58" s="6">
        <f t="shared" si="1"/>
        <v>1933</v>
      </c>
      <c r="V58" s="6">
        <f t="shared" si="1"/>
        <v>969.5</v>
      </c>
    </row>
    <row r="59" spans="1:22" x14ac:dyDescent="0.2">
      <c r="A59" s="3" t="s">
        <v>57</v>
      </c>
      <c r="B59" s="6">
        <f t="shared" si="1"/>
        <v>4865.5</v>
      </c>
      <c r="C59" s="6">
        <f t="shared" si="1"/>
        <v>15437</v>
      </c>
      <c r="D59" s="6">
        <f t="shared" si="1"/>
        <v>2462.5</v>
      </c>
      <c r="E59" s="6">
        <f t="shared" si="1"/>
        <v>2222</v>
      </c>
      <c r="F59" s="6">
        <f t="shared" si="1"/>
        <v>1910</v>
      </c>
      <c r="G59" s="6">
        <f t="shared" si="1"/>
        <v>1302</v>
      </c>
      <c r="H59" s="6">
        <f t="shared" si="1"/>
        <v>1983</v>
      </c>
      <c r="I59" s="6">
        <f t="shared" si="1"/>
        <v>1433.5</v>
      </c>
      <c r="J59" s="6">
        <f t="shared" si="1"/>
        <v>2054</v>
      </c>
      <c r="K59" s="6">
        <f t="shared" si="1"/>
        <v>4725.5</v>
      </c>
      <c r="L59" s="6">
        <f t="shared" si="1"/>
        <v>19436.5</v>
      </c>
      <c r="M59" s="6">
        <f t="shared" si="1"/>
        <v>49052</v>
      </c>
      <c r="N59" s="6">
        <f t="shared" si="1"/>
        <v>8230</v>
      </c>
      <c r="O59" s="6">
        <f t="shared" si="1"/>
        <v>928.5</v>
      </c>
      <c r="P59" s="6">
        <f t="shared" si="1"/>
        <v>1717.5</v>
      </c>
      <c r="Q59" s="6">
        <f t="shared" si="1"/>
        <v>1174</v>
      </c>
      <c r="R59" s="6">
        <f t="shared" si="1"/>
        <v>14460.5</v>
      </c>
      <c r="S59" s="6">
        <f t="shared" si="1"/>
        <v>1755</v>
      </c>
      <c r="T59" s="6">
        <f t="shared" si="1"/>
        <v>738</v>
      </c>
      <c r="U59" s="6">
        <f t="shared" si="1"/>
        <v>1220</v>
      </c>
      <c r="V59" s="6">
        <f t="shared" si="1"/>
        <v>651</v>
      </c>
    </row>
    <row r="60" spans="1:22" x14ac:dyDescent="0.2">
      <c r="A60" s="3" t="s">
        <v>58</v>
      </c>
      <c r="B60" s="6">
        <f t="shared" si="1"/>
        <v>6209.5</v>
      </c>
      <c r="C60" s="6">
        <f t="shared" si="1"/>
        <v>7911</v>
      </c>
      <c r="D60" s="6">
        <f t="shared" si="1"/>
        <v>15390.5</v>
      </c>
      <c r="E60" s="6">
        <f t="shared" si="1"/>
        <v>4936.5</v>
      </c>
      <c r="F60" s="6">
        <f t="shared" si="1"/>
        <v>3391.5</v>
      </c>
      <c r="G60" s="6">
        <f t="shared" si="1"/>
        <v>2480</v>
      </c>
      <c r="H60" s="6">
        <f t="shared" si="1"/>
        <v>2894</v>
      </c>
      <c r="I60" s="6">
        <f t="shared" si="1"/>
        <v>2791</v>
      </c>
      <c r="J60" s="6">
        <f t="shared" si="1"/>
        <v>2177</v>
      </c>
      <c r="K60" s="6">
        <f t="shared" si="1"/>
        <v>2902</v>
      </c>
      <c r="L60" s="6">
        <f t="shared" si="1"/>
        <v>4121.5</v>
      </c>
      <c r="M60" s="6">
        <f t="shared" si="1"/>
        <v>8230</v>
      </c>
      <c r="N60" s="6">
        <f t="shared" si="1"/>
        <v>101272</v>
      </c>
      <c r="O60" s="6">
        <f t="shared" si="1"/>
        <v>13957.5</v>
      </c>
      <c r="P60" s="6">
        <f t="shared" si="1"/>
        <v>4022</v>
      </c>
      <c r="Q60" s="6">
        <f t="shared" si="1"/>
        <v>2394.5</v>
      </c>
      <c r="R60" s="6">
        <f t="shared" si="1"/>
        <v>6321</v>
      </c>
      <c r="S60" s="6">
        <f t="shared" si="1"/>
        <v>22050</v>
      </c>
      <c r="T60" s="6">
        <f t="shared" si="1"/>
        <v>6610</v>
      </c>
      <c r="U60" s="6">
        <f t="shared" si="1"/>
        <v>3203</v>
      </c>
      <c r="V60" s="6">
        <f t="shared" si="1"/>
        <v>1278.5</v>
      </c>
    </row>
    <row r="61" spans="1:22" x14ac:dyDescent="0.2">
      <c r="A61" s="3" t="s">
        <v>59</v>
      </c>
      <c r="B61" s="6">
        <f t="shared" si="1"/>
        <v>1762.5</v>
      </c>
      <c r="C61" s="6">
        <f t="shared" si="1"/>
        <v>1276.5</v>
      </c>
      <c r="D61" s="6">
        <f t="shared" si="1"/>
        <v>8798</v>
      </c>
      <c r="E61" s="6">
        <f t="shared" ref="E61:Y61" si="2">(E15+E38)/2</f>
        <v>4477</v>
      </c>
      <c r="F61" s="6">
        <f t="shared" si="2"/>
        <v>1776</v>
      </c>
      <c r="G61" s="6">
        <f t="shared" si="2"/>
        <v>972</v>
      </c>
      <c r="H61" s="6">
        <f t="shared" si="2"/>
        <v>1302</v>
      </c>
      <c r="I61" s="6">
        <f t="shared" si="2"/>
        <v>1290</v>
      </c>
      <c r="J61" s="6">
        <f t="shared" si="2"/>
        <v>884.5</v>
      </c>
      <c r="K61" s="6">
        <f t="shared" si="2"/>
        <v>942</v>
      </c>
      <c r="L61" s="6">
        <f t="shared" si="2"/>
        <v>1164.5</v>
      </c>
      <c r="M61" s="6">
        <f t="shared" si="2"/>
        <v>928.5</v>
      </c>
      <c r="N61" s="6">
        <f t="shared" si="2"/>
        <v>13957.5</v>
      </c>
      <c r="O61" s="6">
        <f t="shared" si="2"/>
        <v>25918</v>
      </c>
      <c r="P61" s="6">
        <f t="shared" si="2"/>
        <v>7832</v>
      </c>
      <c r="Q61" s="6">
        <f t="shared" si="2"/>
        <v>1238</v>
      </c>
      <c r="R61" s="6">
        <f t="shared" si="2"/>
        <v>772</v>
      </c>
      <c r="S61" s="6">
        <f t="shared" si="2"/>
        <v>3730</v>
      </c>
      <c r="T61" s="6">
        <f t="shared" si="2"/>
        <v>6088.5</v>
      </c>
      <c r="U61" s="6">
        <f t="shared" si="2"/>
        <v>4010.5</v>
      </c>
      <c r="V61" s="6">
        <f t="shared" si="2"/>
        <v>606.5</v>
      </c>
    </row>
    <row r="62" spans="1:22" x14ac:dyDescent="0.2">
      <c r="A62" s="3" t="s">
        <v>60</v>
      </c>
      <c r="B62" s="6">
        <f t="shared" ref="B62:V68" si="3">(B16+B39)/2</f>
        <v>5179.5</v>
      </c>
      <c r="C62" s="6">
        <f t="shared" si="3"/>
        <v>2626.5</v>
      </c>
      <c r="D62" s="6">
        <f t="shared" si="3"/>
        <v>5233</v>
      </c>
      <c r="E62" s="6">
        <f t="shared" si="3"/>
        <v>19093</v>
      </c>
      <c r="F62" s="6">
        <f t="shared" si="3"/>
        <v>14115</v>
      </c>
      <c r="G62" s="6">
        <f t="shared" si="3"/>
        <v>3925.5</v>
      </c>
      <c r="H62" s="6">
        <f t="shared" si="3"/>
        <v>5313.5</v>
      </c>
      <c r="I62" s="6">
        <f t="shared" si="3"/>
        <v>5889</v>
      </c>
      <c r="J62" s="6">
        <f t="shared" si="3"/>
        <v>3023.5</v>
      </c>
      <c r="K62" s="6">
        <f t="shared" si="3"/>
        <v>2158</v>
      </c>
      <c r="L62" s="6">
        <f t="shared" si="3"/>
        <v>2388.5</v>
      </c>
      <c r="M62" s="6">
        <f t="shared" si="3"/>
        <v>1717.5</v>
      </c>
      <c r="N62" s="6">
        <f t="shared" si="3"/>
        <v>4022</v>
      </c>
      <c r="O62" s="6">
        <f t="shared" si="3"/>
        <v>7832</v>
      </c>
      <c r="P62" s="6">
        <f t="shared" si="3"/>
        <v>73065</v>
      </c>
      <c r="Q62" s="6">
        <f t="shared" si="3"/>
        <v>14677</v>
      </c>
      <c r="R62" s="6">
        <f t="shared" si="3"/>
        <v>1750.5</v>
      </c>
      <c r="S62" s="6">
        <f t="shared" si="3"/>
        <v>1827</v>
      </c>
      <c r="T62" s="6">
        <f t="shared" si="3"/>
        <v>2592</v>
      </c>
      <c r="U62" s="6">
        <f t="shared" si="3"/>
        <v>23697.5</v>
      </c>
      <c r="V62" s="6">
        <f t="shared" si="3"/>
        <v>2885</v>
      </c>
    </row>
    <row r="63" spans="1:22" x14ac:dyDescent="0.2">
      <c r="A63" s="3" t="s">
        <v>61</v>
      </c>
      <c r="B63" s="6">
        <f t="shared" si="3"/>
        <v>2822.5</v>
      </c>
      <c r="C63" s="6">
        <f t="shared" si="3"/>
        <v>1863</v>
      </c>
      <c r="D63" s="6">
        <f t="shared" si="3"/>
        <v>2393.5</v>
      </c>
      <c r="E63" s="6">
        <f t="shared" si="3"/>
        <v>4682</v>
      </c>
      <c r="F63" s="6">
        <f t="shared" si="3"/>
        <v>11969.5</v>
      </c>
      <c r="G63" s="6">
        <f t="shared" si="3"/>
        <v>4696.5</v>
      </c>
      <c r="H63" s="6">
        <f t="shared" si="3"/>
        <v>3361</v>
      </c>
      <c r="I63" s="6">
        <f t="shared" si="3"/>
        <v>17799</v>
      </c>
      <c r="J63" s="6">
        <f t="shared" si="3"/>
        <v>2417.5</v>
      </c>
      <c r="K63" s="6">
        <f t="shared" si="3"/>
        <v>1796</v>
      </c>
      <c r="L63" s="6">
        <f t="shared" si="3"/>
        <v>1775</v>
      </c>
      <c r="M63" s="6">
        <f t="shared" si="3"/>
        <v>1174</v>
      </c>
      <c r="N63" s="6">
        <f t="shared" si="3"/>
        <v>2394.5</v>
      </c>
      <c r="O63" s="6">
        <f t="shared" si="3"/>
        <v>1238</v>
      </c>
      <c r="P63" s="6">
        <f t="shared" si="3"/>
        <v>14677</v>
      </c>
      <c r="Q63" s="6">
        <f t="shared" si="3"/>
        <v>88879</v>
      </c>
      <c r="R63" s="6">
        <f t="shared" si="3"/>
        <v>1390</v>
      </c>
      <c r="S63" s="6">
        <f t="shared" si="3"/>
        <v>1444</v>
      </c>
      <c r="T63" s="6">
        <f t="shared" si="3"/>
        <v>1384.5</v>
      </c>
      <c r="U63" s="6">
        <f t="shared" si="3"/>
        <v>10517</v>
      </c>
      <c r="V63" s="6">
        <f t="shared" si="3"/>
        <v>8650.5</v>
      </c>
    </row>
    <row r="64" spans="1:22" x14ac:dyDescent="0.2">
      <c r="A64" s="3" t="s">
        <v>62</v>
      </c>
      <c r="B64" s="6">
        <f t="shared" si="3"/>
        <v>3952.5</v>
      </c>
      <c r="C64" s="6">
        <f t="shared" si="3"/>
        <v>4852.5</v>
      </c>
      <c r="D64" s="6">
        <f t="shared" si="3"/>
        <v>2370</v>
      </c>
      <c r="E64" s="6">
        <f t="shared" si="3"/>
        <v>2125</v>
      </c>
      <c r="F64" s="6">
        <f t="shared" si="3"/>
        <v>2276.5</v>
      </c>
      <c r="G64" s="6">
        <f t="shared" si="3"/>
        <v>1493.5</v>
      </c>
      <c r="H64" s="6">
        <f t="shared" si="3"/>
        <v>1936.5</v>
      </c>
      <c r="I64" s="6">
        <f t="shared" si="3"/>
        <v>1884</v>
      </c>
      <c r="J64" s="6">
        <f t="shared" si="3"/>
        <v>1838</v>
      </c>
      <c r="K64" s="6">
        <f t="shared" si="3"/>
        <v>3230</v>
      </c>
      <c r="L64" s="6">
        <f t="shared" si="3"/>
        <v>8184.5</v>
      </c>
      <c r="M64" s="6">
        <f t="shared" si="3"/>
        <v>14460.5</v>
      </c>
      <c r="N64" s="6">
        <f t="shared" si="3"/>
        <v>6321</v>
      </c>
      <c r="O64" s="6">
        <f t="shared" si="3"/>
        <v>772</v>
      </c>
      <c r="P64" s="6">
        <f t="shared" si="3"/>
        <v>1750.5</v>
      </c>
      <c r="Q64" s="6">
        <f t="shared" si="3"/>
        <v>1390</v>
      </c>
      <c r="R64" s="6">
        <f t="shared" si="3"/>
        <v>74370</v>
      </c>
      <c r="S64" s="6">
        <f t="shared" si="3"/>
        <v>5309</v>
      </c>
      <c r="T64" s="6">
        <f t="shared" si="3"/>
        <v>1145.5</v>
      </c>
      <c r="U64" s="6">
        <f t="shared" si="3"/>
        <v>1489.5</v>
      </c>
      <c r="V64" s="6">
        <f t="shared" si="3"/>
        <v>800.5</v>
      </c>
    </row>
    <row r="65" spans="1:23" x14ac:dyDescent="0.2">
      <c r="A65" s="3" t="s">
        <v>63</v>
      </c>
      <c r="B65" s="6">
        <f t="shared" si="3"/>
        <v>1977</v>
      </c>
      <c r="C65" s="6">
        <f t="shared" si="3"/>
        <v>1951.5</v>
      </c>
      <c r="D65" s="6">
        <f t="shared" si="3"/>
        <v>2407.5</v>
      </c>
      <c r="E65" s="6">
        <f t="shared" si="3"/>
        <v>1912</v>
      </c>
      <c r="F65" s="6">
        <f t="shared" si="3"/>
        <v>1348.5</v>
      </c>
      <c r="G65" s="6">
        <f t="shared" si="3"/>
        <v>1007</v>
      </c>
      <c r="H65" s="6">
        <f t="shared" si="3"/>
        <v>1097.5</v>
      </c>
      <c r="I65" s="6">
        <f t="shared" si="3"/>
        <v>1436</v>
      </c>
      <c r="J65" s="6">
        <f t="shared" si="3"/>
        <v>833.5</v>
      </c>
      <c r="K65" s="6">
        <f t="shared" si="3"/>
        <v>1436.5</v>
      </c>
      <c r="L65" s="6">
        <f t="shared" si="3"/>
        <v>1868</v>
      </c>
      <c r="M65" s="6">
        <f t="shared" si="3"/>
        <v>1755</v>
      </c>
      <c r="N65" s="6">
        <f t="shared" si="3"/>
        <v>22050</v>
      </c>
      <c r="O65" s="6">
        <f t="shared" si="3"/>
        <v>3730</v>
      </c>
      <c r="P65" s="6">
        <f t="shared" si="3"/>
        <v>1827</v>
      </c>
      <c r="Q65" s="6">
        <f t="shared" si="3"/>
        <v>1444</v>
      </c>
      <c r="R65" s="6">
        <f t="shared" si="3"/>
        <v>5309</v>
      </c>
      <c r="S65" s="6">
        <f t="shared" si="3"/>
        <v>45697</v>
      </c>
      <c r="T65" s="6">
        <f t="shared" si="3"/>
        <v>14916.5</v>
      </c>
      <c r="U65" s="6">
        <f t="shared" si="3"/>
        <v>2087</v>
      </c>
      <c r="V65" s="6">
        <f t="shared" si="3"/>
        <v>735</v>
      </c>
    </row>
    <row r="66" spans="1:23" x14ac:dyDescent="0.2">
      <c r="A66" s="3" t="s">
        <v>64</v>
      </c>
      <c r="B66" s="6">
        <f t="shared" si="3"/>
        <v>1195</v>
      </c>
      <c r="C66" s="6">
        <f t="shared" si="3"/>
        <v>1045.5</v>
      </c>
      <c r="D66" s="6">
        <f t="shared" si="3"/>
        <v>1955</v>
      </c>
      <c r="E66" s="6">
        <f t="shared" si="3"/>
        <v>1923</v>
      </c>
      <c r="F66" s="6">
        <f t="shared" si="3"/>
        <v>1256.5</v>
      </c>
      <c r="G66" s="6">
        <f t="shared" si="3"/>
        <v>756.5</v>
      </c>
      <c r="H66" s="6">
        <f t="shared" si="3"/>
        <v>867</v>
      </c>
      <c r="I66" s="6">
        <f t="shared" si="3"/>
        <v>1155.5</v>
      </c>
      <c r="J66" s="6">
        <f t="shared" si="3"/>
        <v>696.5</v>
      </c>
      <c r="K66" s="6">
        <f t="shared" si="3"/>
        <v>904</v>
      </c>
      <c r="L66" s="6">
        <f t="shared" si="3"/>
        <v>1027.5</v>
      </c>
      <c r="M66" s="6">
        <f t="shared" si="3"/>
        <v>738</v>
      </c>
      <c r="N66" s="6">
        <f t="shared" si="3"/>
        <v>6610</v>
      </c>
      <c r="O66" s="6">
        <f t="shared" si="3"/>
        <v>6088.5</v>
      </c>
      <c r="P66" s="6">
        <f t="shared" si="3"/>
        <v>2592</v>
      </c>
      <c r="Q66" s="6">
        <f t="shared" si="3"/>
        <v>1384.5</v>
      </c>
      <c r="R66" s="6">
        <f t="shared" si="3"/>
        <v>1145.5</v>
      </c>
      <c r="S66" s="6">
        <f t="shared" si="3"/>
        <v>14916.5</v>
      </c>
      <c r="T66" s="6">
        <f t="shared" si="3"/>
        <v>17865</v>
      </c>
      <c r="U66" s="6">
        <f t="shared" si="3"/>
        <v>9125.5</v>
      </c>
      <c r="V66" s="6">
        <f t="shared" si="3"/>
        <v>891</v>
      </c>
    </row>
    <row r="67" spans="1:23" x14ac:dyDescent="0.2">
      <c r="A67" s="3" t="s">
        <v>65</v>
      </c>
      <c r="B67" s="6">
        <f t="shared" si="3"/>
        <v>2595.5</v>
      </c>
      <c r="C67" s="6">
        <f t="shared" si="3"/>
        <v>1721.5</v>
      </c>
      <c r="D67" s="6">
        <f t="shared" si="3"/>
        <v>2408.5</v>
      </c>
      <c r="E67" s="6">
        <f t="shared" si="3"/>
        <v>4597</v>
      </c>
      <c r="F67" s="6">
        <f t="shared" si="3"/>
        <v>3646.5</v>
      </c>
      <c r="G67" s="6">
        <f t="shared" si="3"/>
        <v>2033.5</v>
      </c>
      <c r="H67" s="6">
        <f t="shared" si="3"/>
        <v>2974.5</v>
      </c>
      <c r="I67" s="6">
        <f t="shared" si="3"/>
        <v>3518</v>
      </c>
      <c r="J67" s="6">
        <f t="shared" si="3"/>
        <v>2169.5</v>
      </c>
      <c r="K67" s="6">
        <f t="shared" si="3"/>
        <v>1601</v>
      </c>
      <c r="L67" s="6">
        <f t="shared" si="3"/>
        <v>1933</v>
      </c>
      <c r="M67" s="6">
        <f t="shared" si="3"/>
        <v>1220</v>
      </c>
      <c r="N67" s="6">
        <f t="shared" si="3"/>
        <v>3203</v>
      </c>
      <c r="O67" s="6">
        <f t="shared" si="3"/>
        <v>4010.5</v>
      </c>
      <c r="P67" s="6">
        <f t="shared" si="3"/>
        <v>23697.5</v>
      </c>
      <c r="Q67" s="6">
        <f t="shared" si="3"/>
        <v>10517</v>
      </c>
      <c r="R67" s="6">
        <f t="shared" si="3"/>
        <v>1489.5</v>
      </c>
      <c r="S67" s="6">
        <f t="shared" si="3"/>
        <v>2087</v>
      </c>
      <c r="T67" s="6">
        <f t="shared" si="3"/>
        <v>9125.5</v>
      </c>
      <c r="U67" s="6">
        <f t="shared" si="3"/>
        <v>67095</v>
      </c>
      <c r="V67" s="6">
        <f t="shared" si="3"/>
        <v>8389</v>
      </c>
    </row>
    <row r="68" spans="1:23" x14ac:dyDescent="0.2">
      <c r="A68" s="3" t="s">
        <v>66</v>
      </c>
      <c r="B68" s="6">
        <f t="shared" si="3"/>
        <v>1176.5</v>
      </c>
      <c r="C68" s="6">
        <f t="shared" si="3"/>
        <v>853.5</v>
      </c>
      <c r="D68" s="6">
        <f t="shared" si="3"/>
        <v>1008</v>
      </c>
      <c r="E68" s="6">
        <f t="shared" si="3"/>
        <v>1391</v>
      </c>
      <c r="F68" s="6">
        <f t="shared" si="3"/>
        <v>2061.5</v>
      </c>
      <c r="G68" s="6">
        <f t="shared" si="3"/>
        <v>1188.5</v>
      </c>
      <c r="H68" s="6">
        <f t="shared" si="3"/>
        <v>1088</v>
      </c>
      <c r="I68" s="6">
        <f t="shared" si="3"/>
        <v>1977</v>
      </c>
      <c r="J68" s="6">
        <f t="shared" si="3"/>
        <v>761</v>
      </c>
      <c r="K68" s="6">
        <f t="shared" si="3"/>
        <v>965.5</v>
      </c>
      <c r="L68" s="6">
        <f t="shared" si="3"/>
        <v>969.5</v>
      </c>
      <c r="M68" s="6">
        <f t="shared" si="3"/>
        <v>651</v>
      </c>
      <c r="N68" s="6">
        <f t="shared" si="3"/>
        <v>1278.5</v>
      </c>
      <c r="O68" s="6">
        <f t="shared" si="3"/>
        <v>606.5</v>
      </c>
      <c r="P68" s="6">
        <f t="shared" si="3"/>
        <v>2885</v>
      </c>
      <c r="Q68" s="6">
        <f t="shared" si="3"/>
        <v>8650.5</v>
      </c>
      <c r="R68" s="6">
        <f t="shared" si="3"/>
        <v>800.5</v>
      </c>
      <c r="S68" s="6">
        <f t="shared" si="3"/>
        <v>735</v>
      </c>
      <c r="T68" s="6">
        <f t="shared" si="3"/>
        <v>891</v>
      </c>
      <c r="U68" s="6">
        <f t="shared" si="3"/>
        <v>8389</v>
      </c>
      <c r="V68" s="6">
        <f t="shared" si="3"/>
        <v>21458</v>
      </c>
    </row>
    <row r="70" spans="1:23" x14ac:dyDescent="0.2">
      <c r="B70" s="3" t="s">
        <v>46</v>
      </c>
      <c r="C70" s="3" t="s">
        <v>47</v>
      </c>
      <c r="D70" s="3" t="s">
        <v>48</v>
      </c>
      <c r="E70" s="3" t="s">
        <v>49</v>
      </c>
      <c r="F70" s="3" t="s">
        <v>50</v>
      </c>
      <c r="G70" s="3" t="s">
        <v>51</v>
      </c>
      <c r="H70" s="3" t="s">
        <v>52</v>
      </c>
      <c r="I70" s="3" t="s">
        <v>53</v>
      </c>
      <c r="J70" s="3" t="s">
        <v>54</v>
      </c>
      <c r="K70" s="3" t="s">
        <v>55</v>
      </c>
      <c r="L70" s="3" t="s">
        <v>56</v>
      </c>
      <c r="M70" s="3" t="s">
        <v>57</v>
      </c>
      <c r="N70" s="3" t="s">
        <v>58</v>
      </c>
      <c r="O70" s="3" t="s">
        <v>59</v>
      </c>
      <c r="P70" s="3" t="s">
        <v>60</v>
      </c>
      <c r="Q70" s="3" t="s">
        <v>61</v>
      </c>
      <c r="R70" s="3" t="s">
        <v>62</v>
      </c>
      <c r="S70" s="3" t="s">
        <v>63</v>
      </c>
      <c r="T70" s="3" t="s">
        <v>64</v>
      </c>
      <c r="U70" s="3" t="s">
        <v>65</v>
      </c>
      <c r="V70" s="3" t="s">
        <v>66</v>
      </c>
      <c r="W70" s="3" t="s">
        <v>68</v>
      </c>
    </row>
    <row r="71" spans="1:23" x14ac:dyDescent="0.2">
      <c r="A71" s="3" t="s">
        <v>46</v>
      </c>
      <c r="B71" s="6">
        <v>44261</v>
      </c>
      <c r="C71" s="6">
        <v>16335</v>
      </c>
      <c r="D71" s="6">
        <v>9712</v>
      </c>
      <c r="E71" s="6">
        <v>8052</v>
      </c>
      <c r="F71" s="6">
        <v>5250</v>
      </c>
      <c r="G71" s="6">
        <v>6099.5</v>
      </c>
      <c r="H71" s="6">
        <v>16789</v>
      </c>
      <c r="I71" s="6">
        <v>4385</v>
      </c>
      <c r="J71" s="6">
        <v>9382</v>
      </c>
      <c r="K71" s="6">
        <v>10679</v>
      </c>
      <c r="L71" s="6">
        <v>8978</v>
      </c>
      <c r="M71" s="6">
        <v>4865.5</v>
      </c>
      <c r="N71" s="6">
        <v>6209.5</v>
      </c>
      <c r="O71" s="6">
        <v>1762.5</v>
      </c>
      <c r="P71" s="6">
        <v>5179.5</v>
      </c>
      <c r="Q71" s="6">
        <v>2822.5</v>
      </c>
      <c r="R71" s="6">
        <v>3952.5</v>
      </c>
      <c r="S71" s="6">
        <v>1977</v>
      </c>
      <c r="T71" s="6">
        <v>1195</v>
      </c>
      <c r="U71" s="6">
        <v>2595.5</v>
      </c>
      <c r="V71" s="6">
        <v>1176.5</v>
      </c>
      <c r="W71" s="6">
        <f>SUM(B71:V71)</f>
        <v>171658.5</v>
      </c>
    </row>
    <row r="72" spans="1:23" x14ac:dyDescent="0.2">
      <c r="A72" s="3" t="s">
        <v>47</v>
      </c>
      <c r="B72" s="6">
        <v>16335</v>
      </c>
      <c r="C72" s="6">
        <v>46291</v>
      </c>
      <c r="D72" s="6">
        <v>9308</v>
      </c>
      <c r="E72" s="6">
        <v>3964.5</v>
      </c>
      <c r="F72" s="6">
        <v>3176</v>
      </c>
      <c r="G72" s="6">
        <v>2386.5</v>
      </c>
      <c r="H72" s="6">
        <v>4249</v>
      </c>
      <c r="I72" s="6">
        <v>2430.5</v>
      </c>
      <c r="J72" s="6">
        <v>4380</v>
      </c>
      <c r="K72" s="6">
        <v>7295.5</v>
      </c>
      <c r="L72" s="6">
        <v>16239.5</v>
      </c>
      <c r="M72" s="6">
        <v>15437</v>
      </c>
      <c r="N72" s="6">
        <v>7911</v>
      </c>
      <c r="O72" s="6">
        <v>1276.5</v>
      </c>
      <c r="P72" s="6">
        <v>2626.5</v>
      </c>
      <c r="Q72" s="6">
        <v>1863</v>
      </c>
      <c r="R72" s="6">
        <v>4852.5</v>
      </c>
      <c r="S72" s="6">
        <v>1951.5</v>
      </c>
      <c r="T72" s="6">
        <v>1045.5</v>
      </c>
      <c r="U72" s="6">
        <v>1721.5</v>
      </c>
      <c r="V72" s="6">
        <v>853.5</v>
      </c>
      <c r="W72" s="6">
        <f t="shared" ref="W72:W91" si="4">SUM(B72:V72)</f>
        <v>155594</v>
      </c>
    </row>
    <row r="73" spans="1:23" x14ac:dyDescent="0.2">
      <c r="A73" s="3" t="s">
        <v>48</v>
      </c>
      <c r="B73" s="6">
        <v>9712</v>
      </c>
      <c r="C73" s="6">
        <v>9308</v>
      </c>
      <c r="D73" s="6">
        <v>30886</v>
      </c>
      <c r="E73" s="6">
        <v>12579.5</v>
      </c>
      <c r="F73" s="6">
        <v>3951</v>
      </c>
      <c r="G73" s="6">
        <v>2669</v>
      </c>
      <c r="H73" s="6">
        <v>3595</v>
      </c>
      <c r="I73" s="6">
        <v>2468.5</v>
      </c>
      <c r="J73" s="6">
        <v>2122</v>
      </c>
      <c r="K73" s="6">
        <v>2896.5</v>
      </c>
      <c r="L73" s="6">
        <v>3086.5</v>
      </c>
      <c r="M73" s="6">
        <v>2462.5</v>
      </c>
      <c r="N73" s="6">
        <v>15390.5</v>
      </c>
      <c r="O73" s="6">
        <v>8798</v>
      </c>
      <c r="P73" s="6">
        <v>5233</v>
      </c>
      <c r="Q73" s="6">
        <v>2393.5</v>
      </c>
      <c r="R73" s="6">
        <v>2370</v>
      </c>
      <c r="S73" s="6">
        <v>2407.5</v>
      </c>
      <c r="T73" s="6">
        <v>1955</v>
      </c>
      <c r="U73" s="6">
        <v>2408.5</v>
      </c>
      <c r="V73" s="6">
        <v>1008</v>
      </c>
      <c r="W73" s="6">
        <f t="shared" si="4"/>
        <v>127700.5</v>
      </c>
    </row>
    <row r="74" spans="1:23" x14ac:dyDescent="0.2">
      <c r="A74" s="3" t="s">
        <v>49</v>
      </c>
      <c r="B74" s="6">
        <v>8052</v>
      </c>
      <c r="C74" s="6">
        <v>3964.5</v>
      </c>
      <c r="D74" s="6">
        <v>12579.5</v>
      </c>
      <c r="E74" s="6">
        <v>43350</v>
      </c>
      <c r="F74" s="6">
        <v>12499</v>
      </c>
      <c r="G74" s="6">
        <v>4832.5</v>
      </c>
      <c r="H74" s="6">
        <v>10999.5</v>
      </c>
      <c r="I74" s="6">
        <v>4401</v>
      </c>
      <c r="J74" s="6">
        <v>3226.5</v>
      </c>
      <c r="K74" s="6">
        <v>3399.5</v>
      </c>
      <c r="L74" s="6">
        <v>3324</v>
      </c>
      <c r="M74" s="6">
        <v>2222</v>
      </c>
      <c r="N74" s="6">
        <v>4936.5</v>
      </c>
      <c r="O74" s="6">
        <v>4477</v>
      </c>
      <c r="P74" s="6">
        <v>19093</v>
      </c>
      <c r="Q74" s="6">
        <v>4682</v>
      </c>
      <c r="R74" s="6">
        <v>2125</v>
      </c>
      <c r="S74" s="6">
        <v>1912</v>
      </c>
      <c r="T74" s="6">
        <v>1923</v>
      </c>
      <c r="U74" s="6">
        <v>4597</v>
      </c>
      <c r="V74" s="6">
        <v>1391</v>
      </c>
      <c r="W74" s="6">
        <f t="shared" si="4"/>
        <v>157986.5</v>
      </c>
    </row>
    <row r="75" spans="1:23" x14ac:dyDescent="0.2">
      <c r="A75" s="3" t="s">
        <v>50</v>
      </c>
      <c r="B75" s="6">
        <v>5250</v>
      </c>
      <c r="C75" s="6">
        <v>3176</v>
      </c>
      <c r="D75" s="6">
        <v>3951</v>
      </c>
      <c r="E75" s="6">
        <v>12499</v>
      </c>
      <c r="F75" s="6">
        <v>42466</v>
      </c>
      <c r="G75" s="6">
        <v>22679</v>
      </c>
      <c r="H75" s="6">
        <v>9166.5</v>
      </c>
      <c r="I75" s="6">
        <v>14543</v>
      </c>
      <c r="J75" s="6">
        <v>4127.5</v>
      </c>
      <c r="K75" s="6">
        <v>3631.5</v>
      </c>
      <c r="L75" s="6">
        <v>2799</v>
      </c>
      <c r="M75" s="6">
        <v>1910</v>
      </c>
      <c r="N75" s="6">
        <v>3391.5</v>
      </c>
      <c r="O75" s="6">
        <v>1776</v>
      </c>
      <c r="P75" s="6">
        <v>14115</v>
      </c>
      <c r="Q75" s="6">
        <v>11969.5</v>
      </c>
      <c r="R75" s="6">
        <v>2276.5</v>
      </c>
      <c r="S75" s="6">
        <v>1348.5</v>
      </c>
      <c r="T75" s="6">
        <v>1256.5</v>
      </c>
      <c r="U75" s="6">
        <v>3646.5</v>
      </c>
      <c r="V75" s="6">
        <v>2061.5</v>
      </c>
      <c r="W75" s="6">
        <f t="shared" si="4"/>
        <v>168040</v>
      </c>
    </row>
    <row r="76" spans="1:23" x14ac:dyDescent="0.2">
      <c r="A76" s="3" t="s">
        <v>51</v>
      </c>
      <c r="B76" s="6">
        <v>6099.5</v>
      </c>
      <c r="C76" s="6">
        <v>2386.5</v>
      </c>
      <c r="D76" s="6">
        <v>2669</v>
      </c>
      <c r="E76" s="6">
        <v>4832.5</v>
      </c>
      <c r="F76" s="6">
        <v>22679</v>
      </c>
      <c r="G76" s="6">
        <v>44567</v>
      </c>
      <c r="H76" s="6">
        <v>13872</v>
      </c>
      <c r="I76" s="6">
        <v>19205</v>
      </c>
      <c r="J76" s="6">
        <v>8388</v>
      </c>
      <c r="K76" s="6">
        <v>3025</v>
      </c>
      <c r="L76" s="6">
        <v>2199.5</v>
      </c>
      <c r="M76" s="6">
        <v>1302</v>
      </c>
      <c r="N76" s="6">
        <v>2480</v>
      </c>
      <c r="O76" s="6">
        <v>972</v>
      </c>
      <c r="P76" s="6">
        <v>3925.5</v>
      </c>
      <c r="Q76" s="6">
        <v>4696.5</v>
      </c>
      <c r="R76" s="6">
        <v>1493.5</v>
      </c>
      <c r="S76" s="6">
        <v>1007</v>
      </c>
      <c r="T76" s="6">
        <v>756.5</v>
      </c>
      <c r="U76" s="6">
        <v>2033.5</v>
      </c>
      <c r="V76" s="6">
        <v>1188.5</v>
      </c>
      <c r="W76" s="6">
        <f t="shared" si="4"/>
        <v>149778</v>
      </c>
    </row>
    <row r="77" spans="1:23" x14ac:dyDescent="0.2">
      <c r="A77" s="3" t="s">
        <v>52</v>
      </c>
      <c r="B77" s="6">
        <v>16789</v>
      </c>
      <c r="C77" s="6">
        <v>4249</v>
      </c>
      <c r="D77" s="6">
        <v>3595</v>
      </c>
      <c r="E77" s="6">
        <v>10999.5</v>
      </c>
      <c r="F77" s="6">
        <v>9166.5</v>
      </c>
      <c r="G77" s="6">
        <v>13872</v>
      </c>
      <c r="H77" s="6">
        <v>36647</v>
      </c>
      <c r="I77" s="6">
        <v>6542.5</v>
      </c>
      <c r="J77" s="6">
        <v>12448</v>
      </c>
      <c r="K77" s="6">
        <v>5739.5</v>
      </c>
      <c r="L77" s="6">
        <v>3974</v>
      </c>
      <c r="M77" s="6">
        <v>1983</v>
      </c>
      <c r="N77" s="6">
        <v>2894</v>
      </c>
      <c r="O77" s="6">
        <v>1302</v>
      </c>
      <c r="P77" s="6">
        <v>5313.5</v>
      </c>
      <c r="Q77" s="6">
        <v>3361</v>
      </c>
      <c r="R77" s="6">
        <v>1936.5</v>
      </c>
      <c r="S77" s="6">
        <v>1097.5</v>
      </c>
      <c r="T77" s="6">
        <v>867</v>
      </c>
      <c r="U77" s="6">
        <v>2974.5</v>
      </c>
      <c r="V77" s="6">
        <v>1088</v>
      </c>
      <c r="W77" s="6">
        <f t="shared" si="4"/>
        <v>146839</v>
      </c>
    </row>
    <row r="78" spans="1:23" x14ac:dyDescent="0.2">
      <c r="A78" s="3" t="s">
        <v>53</v>
      </c>
      <c r="B78" s="6">
        <v>4385</v>
      </c>
      <c r="C78" s="6">
        <v>2430.5</v>
      </c>
      <c r="D78" s="6">
        <v>2468.5</v>
      </c>
      <c r="E78" s="6">
        <v>4401</v>
      </c>
      <c r="F78" s="6">
        <v>14543</v>
      </c>
      <c r="G78" s="6">
        <v>19205</v>
      </c>
      <c r="H78" s="6">
        <v>6542.5</v>
      </c>
      <c r="I78" s="6">
        <v>128917</v>
      </c>
      <c r="J78" s="6">
        <v>12116.5</v>
      </c>
      <c r="K78" s="6">
        <v>3298.5</v>
      </c>
      <c r="L78" s="6">
        <v>2567.5</v>
      </c>
      <c r="M78" s="6">
        <v>1433.5</v>
      </c>
      <c r="N78" s="6">
        <v>2791</v>
      </c>
      <c r="O78" s="6">
        <v>1290</v>
      </c>
      <c r="P78" s="6">
        <v>5889</v>
      </c>
      <c r="Q78" s="6">
        <v>17799</v>
      </c>
      <c r="R78" s="6">
        <v>1884</v>
      </c>
      <c r="S78" s="6">
        <v>1436</v>
      </c>
      <c r="T78" s="6">
        <v>1155.5</v>
      </c>
      <c r="U78" s="6">
        <v>3518</v>
      </c>
      <c r="V78" s="6">
        <v>1977</v>
      </c>
      <c r="W78" s="6">
        <f t="shared" si="4"/>
        <v>240048</v>
      </c>
    </row>
    <row r="79" spans="1:23" x14ac:dyDescent="0.2">
      <c r="A79" s="3" t="s">
        <v>54</v>
      </c>
      <c r="B79" s="6">
        <v>9382</v>
      </c>
      <c r="C79" s="6">
        <v>4380</v>
      </c>
      <c r="D79" s="6">
        <v>2122</v>
      </c>
      <c r="E79" s="6">
        <v>3226.5</v>
      </c>
      <c r="F79" s="6">
        <v>4127.5</v>
      </c>
      <c r="G79" s="6">
        <v>8388</v>
      </c>
      <c r="H79" s="6">
        <v>12448</v>
      </c>
      <c r="I79" s="6">
        <v>12116.5</v>
      </c>
      <c r="J79" s="6">
        <v>37765</v>
      </c>
      <c r="K79" s="6">
        <v>18637</v>
      </c>
      <c r="L79" s="6">
        <v>5543.5</v>
      </c>
      <c r="M79" s="6">
        <v>2054</v>
      </c>
      <c r="N79" s="6">
        <v>2177</v>
      </c>
      <c r="O79" s="6">
        <v>884.5</v>
      </c>
      <c r="P79" s="6">
        <v>3023.5</v>
      </c>
      <c r="Q79" s="6">
        <v>2417.5</v>
      </c>
      <c r="R79" s="6">
        <v>1838</v>
      </c>
      <c r="S79" s="6">
        <v>833.5</v>
      </c>
      <c r="T79" s="6">
        <v>696.5</v>
      </c>
      <c r="U79" s="6">
        <v>2169.5</v>
      </c>
      <c r="V79" s="6">
        <v>761</v>
      </c>
      <c r="W79" s="6">
        <f t="shared" si="4"/>
        <v>134991</v>
      </c>
    </row>
    <row r="80" spans="1:23" x14ac:dyDescent="0.2">
      <c r="A80" s="3" t="s">
        <v>55</v>
      </c>
      <c r="B80" s="6">
        <v>10679</v>
      </c>
      <c r="C80" s="6">
        <v>7295.5</v>
      </c>
      <c r="D80" s="6">
        <v>2896.5</v>
      </c>
      <c r="E80" s="6">
        <v>3399.5</v>
      </c>
      <c r="F80" s="6">
        <v>3631.5</v>
      </c>
      <c r="G80" s="6">
        <v>3025</v>
      </c>
      <c r="H80" s="6">
        <v>5739.5</v>
      </c>
      <c r="I80" s="6">
        <v>3298.5</v>
      </c>
      <c r="J80" s="6">
        <v>18637</v>
      </c>
      <c r="K80" s="6">
        <v>98947</v>
      </c>
      <c r="L80" s="6">
        <v>39097</v>
      </c>
      <c r="M80" s="6">
        <v>4725.5</v>
      </c>
      <c r="N80" s="6">
        <v>2902</v>
      </c>
      <c r="O80" s="6">
        <v>942</v>
      </c>
      <c r="P80" s="6">
        <v>2158</v>
      </c>
      <c r="Q80" s="6">
        <v>1796</v>
      </c>
      <c r="R80" s="6">
        <v>3230</v>
      </c>
      <c r="S80" s="6">
        <v>1436.5</v>
      </c>
      <c r="T80" s="6">
        <v>904</v>
      </c>
      <c r="U80" s="6">
        <v>1601</v>
      </c>
      <c r="V80" s="6">
        <v>965.5</v>
      </c>
      <c r="W80" s="6">
        <f t="shared" si="4"/>
        <v>217306.5</v>
      </c>
    </row>
    <row r="81" spans="1:23" x14ac:dyDescent="0.2">
      <c r="A81" s="3" t="s">
        <v>56</v>
      </c>
      <c r="B81" s="6">
        <v>8978</v>
      </c>
      <c r="C81" s="6">
        <v>16239.5</v>
      </c>
      <c r="D81" s="6">
        <v>3086.5</v>
      </c>
      <c r="E81" s="6">
        <v>3324</v>
      </c>
      <c r="F81" s="6">
        <v>2799</v>
      </c>
      <c r="G81" s="6">
        <v>2199.5</v>
      </c>
      <c r="H81" s="6">
        <v>3974</v>
      </c>
      <c r="I81" s="6">
        <v>2567.5</v>
      </c>
      <c r="J81" s="6">
        <v>5543.5</v>
      </c>
      <c r="K81" s="6">
        <v>39097</v>
      </c>
      <c r="L81" s="6">
        <v>116596</v>
      </c>
      <c r="M81" s="6">
        <v>19436.5</v>
      </c>
      <c r="N81" s="6">
        <v>4121.5</v>
      </c>
      <c r="O81" s="6">
        <v>1164.5</v>
      </c>
      <c r="P81" s="6">
        <v>2388.5</v>
      </c>
      <c r="Q81" s="6">
        <v>1775</v>
      </c>
      <c r="R81" s="6">
        <v>8184.5</v>
      </c>
      <c r="S81" s="6">
        <v>1868</v>
      </c>
      <c r="T81" s="6">
        <v>1027.5</v>
      </c>
      <c r="U81" s="6">
        <v>1933</v>
      </c>
      <c r="V81" s="6">
        <v>969.5</v>
      </c>
      <c r="W81" s="6">
        <f t="shared" si="4"/>
        <v>247273</v>
      </c>
    </row>
    <row r="82" spans="1:23" x14ac:dyDescent="0.2">
      <c r="A82" s="3" t="s">
        <v>57</v>
      </c>
      <c r="B82" s="6">
        <v>4865.5</v>
      </c>
      <c r="C82" s="6">
        <v>15437</v>
      </c>
      <c r="D82" s="6">
        <v>2462.5</v>
      </c>
      <c r="E82" s="6">
        <v>2222</v>
      </c>
      <c r="F82" s="6">
        <v>1910</v>
      </c>
      <c r="G82" s="6">
        <v>1302</v>
      </c>
      <c r="H82" s="6">
        <v>1983</v>
      </c>
      <c r="I82" s="6">
        <v>1433.5</v>
      </c>
      <c r="J82" s="6">
        <v>2054</v>
      </c>
      <c r="K82" s="6">
        <v>4725.5</v>
      </c>
      <c r="L82" s="6">
        <v>19436.5</v>
      </c>
      <c r="M82" s="6">
        <v>49052</v>
      </c>
      <c r="N82" s="6">
        <v>8230</v>
      </c>
      <c r="O82" s="6">
        <v>928.5</v>
      </c>
      <c r="P82" s="6">
        <v>1717.5</v>
      </c>
      <c r="Q82" s="6">
        <v>1174</v>
      </c>
      <c r="R82" s="6">
        <v>14460.5</v>
      </c>
      <c r="S82" s="6">
        <v>1755</v>
      </c>
      <c r="T82" s="6">
        <v>738</v>
      </c>
      <c r="U82" s="6">
        <v>1220</v>
      </c>
      <c r="V82" s="6">
        <v>651</v>
      </c>
      <c r="W82" s="6">
        <f t="shared" si="4"/>
        <v>137758</v>
      </c>
    </row>
    <row r="83" spans="1:23" x14ac:dyDescent="0.2">
      <c r="A83" s="3" t="s">
        <v>58</v>
      </c>
      <c r="B83" s="6">
        <v>6209.5</v>
      </c>
      <c r="C83" s="6">
        <v>7911</v>
      </c>
      <c r="D83" s="6">
        <v>15390.5</v>
      </c>
      <c r="E83" s="6">
        <v>4936.5</v>
      </c>
      <c r="F83" s="6">
        <v>3391.5</v>
      </c>
      <c r="G83" s="6">
        <v>2480</v>
      </c>
      <c r="H83" s="6">
        <v>2894</v>
      </c>
      <c r="I83" s="6">
        <v>2791</v>
      </c>
      <c r="J83" s="6">
        <v>2177</v>
      </c>
      <c r="K83" s="6">
        <v>2902</v>
      </c>
      <c r="L83" s="6">
        <v>4121.5</v>
      </c>
      <c r="M83" s="6">
        <v>8230</v>
      </c>
      <c r="N83" s="6">
        <v>101272</v>
      </c>
      <c r="O83" s="6">
        <v>13957.5</v>
      </c>
      <c r="P83" s="6">
        <v>4022</v>
      </c>
      <c r="Q83" s="6">
        <v>2394.5</v>
      </c>
      <c r="R83" s="6">
        <v>6321</v>
      </c>
      <c r="S83" s="6">
        <v>22050</v>
      </c>
      <c r="T83" s="6">
        <v>6610</v>
      </c>
      <c r="U83" s="6">
        <v>3203</v>
      </c>
      <c r="V83" s="6">
        <v>1278.5</v>
      </c>
      <c r="W83" s="6">
        <f t="shared" si="4"/>
        <v>224543</v>
      </c>
    </row>
    <row r="84" spans="1:23" x14ac:dyDescent="0.2">
      <c r="A84" s="3" t="s">
        <v>59</v>
      </c>
      <c r="B84" s="6">
        <v>1762.5</v>
      </c>
      <c r="C84" s="6">
        <v>1276.5</v>
      </c>
      <c r="D84" s="6">
        <v>8798</v>
      </c>
      <c r="E84" s="6">
        <v>4477</v>
      </c>
      <c r="F84" s="6">
        <v>1776</v>
      </c>
      <c r="G84" s="6">
        <v>972</v>
      </c>
      <c r="H84" s="6">
        <v>1302</v>
      </c>
      <c r="I84" s="6">
        <v>1290</v>
      </c>
      <c r="J84" s="6">
        <v>884.5</v>
      </c>
      <c r="K84" s="6">
        <v>942</v>
      </c>
      <c r="L84" s="6">
        <v>1164.5</v>
      </c>
      <c r="M84" s="6">
        <v>928.5</v>
      </c>
      <c r="N84" s="6">
        <v>13957.5</v>
      </c>
      <c r="O84" s="6">
        <v>25918</v>
      </c>
      <c r="P84" s="6">
        <v>7832</v>
      </c>
      <c r="Q84" s="6">
        <v>1238</v>
      </c>
      <c r="R84" s="6">
        <v>772</v>
      </c>
      <c r="S84" s="6">
        <v>3730</v>
      </c>
      <c r="T84" s="6">
        <v>6088.5</v>
      </c>
      <c r="U84" s="6">
        <v>4010.5</v>
      </c>
      <c r="V84" s="6">
        <v>606.5</v>
      </c>
      <c r="W84" s="6">
        <f t="shared" si="4"/>
        <v>89726.5</v>
      </c>
    </row>
    <row r="85" spans="1:23" x14ac:dyDescent="0.2">
      <c r="A85" s="3" t="s">
        <v>60</v>
      </c>
      <c r="B85" s="6">
        <v>5179.5</v>
      </c>
      <c r="C85" s="6">
        <v>2626.5</v>
      </c>
      <c r="D85" s="6">
        <v>5233</v>
      </c>
      <c r="E85" s="6">
        <v>19093</v>
      </c>
      <c r="F85" s="6">
        <v>14115</v>
      </c>
      <c r="G85" s="6">
        <v>3925.5</v>
      </c>
      <c r="H85" s="6">
        <v>5313.5</v>
      </c>
      <c r="I85" s="6">
        <v>5889</v>
      </c>
      <c r="J85" s="6">
        <v>3023.5</v>
      </c>
      <c r="K85" s="6">
        <v>2158</v>
      </c>
      <c r="L85" s="6">
        <v>2388.5</v>
      </c>
      <c r="M85" s="6">
        <v>1717.5</v>
      </c>
      <c r="N85" s="6">
        <v>4022</v>
      </c>
      <c r="O85" s="6">
        <v>7832</v>
      </c>
      <c r="P85" s="6">
        <v>73065</v>
      </c>
      <c r="Q85" s="6">
        <v>14677</v>
      </c>
      <c r="R85" s="6">
        <v>1750.5</v>
      </c>
      <c r="S85" s="6">
        <v>1827</v>
      </c>
      <c r="T85" s="6">
        <v>2592</v>
      </c>
      <c r="U85" s="6">
        <v>23697.5</v>
      </c>
      <c r="V85" s="6">
        <v>2885</v>
      </c>
      <c r="W85" s="6">
        <f t="shared" si="4"/>
        <v>203010.5</v>
      </c>
    </row>
    <row r="86" spans="1:23" x14ac:dyDescent="0.2">
      <c r="A86" s="3" t="s">
        <v>61</v>
      </c>
      <c r="B86" s="6">
        <v>2822.5</v>
      </c>
      <c r="C86" s="6">
        <v>1863</v>
      </c>
      <c r="D86" s="6">
        <v>2393.5</v>
      </c>
      <c r="E86" s="6">
        <v>4682</v>
      </c>
      <c r="F86" s="6">
        <v>11969.5</v>
      </c>
      <c r="G86" s="6">
        <v>4696.5</v>
      </c>
      <c r="H86" s="6">
        <v>3361</v>
      </c>
      <c r="I86" s="6">
        <v>17799</v>
      </c>
      <c r="J86" s="6">
        <v>2417.5</v>
      </c>
      <c r="K86" s="6">
        <v>1796</v>
      </c>
      <c r="L86" s="6">
        <v>1775</v>
      </c>
      <c r="M86" s="6">
        <v>1174</v>
      </c>
      <c r="N86" s="6">
        <v>2394.5</v>
      </c>
      <c r="O86" s="6">
        <v>1238</v>
      </c>
      <c r="P86" s="6">
        <v>14677</v>
      </c>
      <c r="Q86" s="6">
        <v>88879</v>
      </c>
      <c r="R86" s="6">
        <v>1390</v>
      </c>
      <c r="S86" s="6">
        <v>1444</v>
      </c>
      <c r="T86" s="6">
        <v>1384.5</v>
      </c>
      <c r="U86" s="6">
        <v>10517</v>
      </c>
      <c r="V86" s="6">
        <v>8650.5</v>
      </c>
      <c r="W86" s="6">
        <f t="shared" si="4"/>
        <v>187324</v>
      </c>
    </row>
    <row r="87" spans="1:23" x14ac:dyDescent="0.2">
      <c r="A87" s="3" t="s">
        <v>62</v>
      </c>
      <c r="B87" s="6">
        <v>3952.5</v>
      </c>
      <c r="C87" s="6">
        <v>4852.5</v>
      </c>
      <c r="D87" s="6">
        <v>2370</v>
      </c>
      <c r="E87" s="6">
        <v>2125</v>
      </c>
      <c r="F87" s="6">
        <v>2276.5</v>
      </c>
      <c r="G87" s="6">
        <v>1493.5</v>
      </c>
      <c r="H87" s="6">
        <v>1936.5</v>
      </c>
      <c r="I87" s="6">
        <v>1884</v>
      </c>
      <c r="J87" s="6">
        <v>1838</v>
      </c>
      <c r="K87" s="6">
        <v>3230</v>
      </c>
      <c r="L87" s="6">
        <v>8184.5</v>
      </c>
      <c r="M87" s="6">
        <v>14460.5</v>
      </c>
      <c r="N87" s="6">
        <v>6321</v>
      </c>
      <c r="O87" s="6">
        <v>772</v>
      </c>
      <c r="P87" s="6">
        <v>1750.5</v>
      </c>
      <c r="Q87" s="6">
        <v>1390</v>
      </c>
      <c r="R87" s="6">
        <v>74370</v>
      </c>
      <c r="S87" s="6">
        <v>5309</v>
      </c>
      <c r="T87" s="6">
        <v>1145.5</v>
      </c>
      <c r="U87" s="6">
        <v>1489.5</v>
      </c>
      <c r="V87" s="6">
        <v>800.5</v>
      </c>
      <c r="W87" s="6">
        <f t="shared" si="4"/>
        <v>141951.5</v>
      </c>
    </row>
    <row r="88" spans="1:23" x14ac:dyDescent="0.2">
      <c r="A88" s="3" t="s">
        <v>63</v>
      </c>
      <c r="B88" s="6">
        <v>1977</v>
      </c>
      <c r="C88" s="6">
        <v>1951.5</v>
      </c>
      <c r="D88" s="6">
        <v>2407.5</v>
      </c>
      <c r="E88" s="6">
        <v>1912</v>
      </c>
      <c r="F88" s="6">
        <v>1348.5</v>
      </c>
      <c r="G88" s="6">
        <v>1007</v>
      </c>
      <c r="H88" s="6">
        <v>1097.5</v>
      </c>
      <c r="I88" s="6">
        <v>1436</v>
      </c>
      <c r="J88" s="6">
        <v>833.5</v>
      </c>
      <c r="K88" s="6">
        <v>1436.5</v>
      </c>
      <c r="L88" s="6">
        <v>1868</v>
      </c>
      <c r="M88" s="6">
        <v>1755</v>
      </c>
      <c r="N88" s="6">
        <v>22050</v>
      </c>
      <c r="O88" s="6">
        <v>3730</v>
      </c>
      <c r="P88" s="6">
        <v>1827</v>
      </c>
      <c r="Q88" s="6">
        <v>1444</v>
      </c>
      <c r="R88" s="6">
        <v>5309</v>
      </c>
      <c r="S88" s="6">
        <v>45697</v>
      </c>
      <c r="T88" s="6">
        <v>14916.5</v>
      </c>
      <c r="U88" s="6">
        <v>2087</v>
      </c>
      <c r="V88" s="6">
        <v>735</v>
      </c>
      <c r="W88" s="6">
        <f t="shared" si="4"/>
        <v>116825.5</v>
      </c>
    </row>
    <row r="89" spans="1:23" x14ac:dyDescent="0.2">
      <c r="A89" s="3" t="s">
        <v>64</v>
      </c>
      <c r="B89" s="6">
        <v>1195</v>
      </c>
      <c r="C89" s="6">
        <v>1045.5</v>
      </c>
      <c r="D89" s="6">
        <v>1955</v>
      </c>
      <c r="E89" s="6">
        <v>1923</v>
      </c>
      <c r="F89" s="6">
        <v>1256.5</v>
      </c>
      <c r="G89" s="6">
        <v>756.5</v>
      </c>
      <c r="H89" s="6">
        <v>867</v>
      </c>
      <c r="I89" s="6">
        <v>1155.5</v>
      </c>
      <c r="J89" s="6">
        <v>696.5</v>
      </c>
      <c r="K89" s="6">
        <v>904</v>
      </c>
      <c r="L89" s="6">
        <v>1027.5</v>
      </c>
      <c r="M89" s="6">
        <v>738</v>
      </c>
      <c r="N89" s="6">
        <v>6610</v>
      </c>
      <c r="O89" s="6">
        <v>6088.5</v>
      </c>
      <c r="P89" s="6">
        <v>2592</v>
      </c>
      <c r="Q89" s="6">
        <v>1384.5</v>
      </c>
      <c r="R89" s="6">
        <v>1145.5</v>
      </c>
      <c r="S89" s="6">
        <v>14916.5</v>
      </c>
      <c r="T89" s="6">
        <v>17865</v>
      </c>
      <c r="U89" s="6">
        <v>9125.5</v>
      </c>
      <c r="V89" s="6">
        <v>891</v>
      </c>
      <c r="W89" s="6">
        <f t="shared" si="4"/>
        <v>74138.5</v>
      </c>
    </row>
    <row r="90" spans="1:23" x14ac:dyDescent="0.2">
      <c r="A90" s="3" t="s">
        <v>65</v>
      </c>
      <c r="B90" s="6">
        <v>2595.5</v>
      </c>
      <c r="C90" s="6">
        <v>1721.5</v>
      </c>
      <c r="D90" s="6">
        <v>2408.5</v>
      </c>
      <c r="E90" s="6">
        <v>4597</v>
      </c>
      <c r="F90" s="6">
        <v>3646.5</v>
      </c>
      <c r="G90" s="6">
        <v>2033.5</v>
      </c>
      <c r="H90" s="6">
        <v>2974.5</v>
      </c>
      <c r="I90" s="6">
        <v>3518</v>
      </c>
      <c r="J90" s="6">
        <v>2169.5</v>
      </c>
      <c r="K90" s="6">
        <v>1601</v>
      </c>
      <c r="L90" s="6">
        <v>1933</v>
      </c>
      <c r="M90" s="6">
        <v>1220</v>
      </c>
      <c r="N90" s="6">
        <v>3203</v>
      </c>
      <c r="O90" s="6">
        <v>4010.5</v>
      </c>
      <c r="P90" s="6">
        <v>23697.5</v>
      </c>
      <c r="Q90" s="6">
        <v>10517</v>
      </c>
      <c r="R90" s="6">
        <v>1489.5</v>
      </c>
      <c r="S90" s="6">
        <v>2087</v>
      </c>
      <c r="T90" s="6">
        <v>9125.5</v>
      </c>
      <c r="U90" s="6">
        <v>67095</v>
      </c>
      <c r="V90" s="6">
        <v>8389</v>
      </c>
      <c r="W90" s="6">
        <f t="shared" si="4"/>
        <v>160032.5</v>
      </c>
    </row>
    <row r="91" spans="1:23" x14ac:dyDescent="0.2">
      <c r="A91" s="3" t="s">
        <v>66</v>
      </c>
      <c r="B91" s="6">
        <v>1176.5</v>
      </c>
      <c r="C91" s="6">
        <v>853.5</v>
      </c>
      <c r="D91" s="6">
        <v>1008</v>
      </c>
      <c r="E91" s="6">
        <v>1391</v>
      </c>
      <c r="F91" s="6">
        <v>2061.5</v>
      </c>
      <c r="G91" s="6">
        <v>1188.5</v>
      </c>
      <c r="H91" s="6">
        <v>1088</v>
      </c>
      <c r="I91" s="6">
        <v>1977</v>
      </c>
      <c r="J91" s="6">
        <v>761</v>
      </c>
      <c r="K91" s="6">
        <v>965.5</v>
      </c>
      <c r="L91" s="6">
        <v>969.5</v>
      </c>
      <c r="M91" s="6">
        <v>651</v>
      </c>
      <c r="N91" s="6">
        <v>1278.5</v>
      </c>
      <c r="O91" s="6">
        <v>606.5</v>
      </c>
      <c r="P91" s="6">
        <v>2885</v>
      </c>
      <c r="Q91" s="6">
        <v>8650.5</v>
      </c>
      <c r="R91" s="6">
        <v>800.5</v>
      </c>
      <c r="S91" s="6">
        <v>735</v>
      </c>
      <c r="T91" s="6">
        <v>891</v>
      </c>
      <c r="U91" s="6">
        <v>8389</v>
      </c>
      <c r="V91" s="6">
        <v>21458</v>
      </c>
      <c r="W91" s="6">
        <f t="shared" si="4"/>
        <v>59785</v>
      </c>
    </row>
    <row r="93" spans="1:23" x14ac:dyDescent="0.2">
      <c r="B93" s="3" t="s">
        <v>46</v>
      </c>
      <c r="C93" s="3" t="s">
        <v>47</v>
      </c>
      <c r="D93" s="3" t="s">
        <v>48</v>
      </c>
      <c r="E93" s="3" t="s">
        <v>49</v>
      </c>
      <c r="F93" s="3" t="s">
        <v>50</v>
      </c>
      <c r="G93" s="3" t="s">
        <v>51</v>
      </c>
      <c r="H93" s="3" t="s">
        <v>52</v>
      </c>
      <c r="I93" s="3" t="s">
        <v>53</v>
      </c>
      <c r="J93" s="3" t="s">
        <v>54</v>
      </c>
      <c r="K93" s="3" t="s">
        <v>55</v>
      </c>
      <c r="L93" s="3" t="s">
        <v>56</v>
      </c>
      <c r="M93" s="3" t="s">
        <v>57</v>
      </c>
      <c r="N93" s="3" t="s">
        <v>58</v>
      </c>
      <c r="O93" s="3" t="s">
        <v>59</v>
      </c>
      <c r="P93" s="3" t="s">
        <v>60</v>
      </c>
      <c r="Q93" s="3" t="s">
        <v>61</v>
      </c>
      <c r="R93" s="3" t="s">
        <v>62</v>
      </c>
      <c r="S93" s="3" t="s">
        <v>63</v>
      </c>
      <c r="T93" s="3" t="s">
        <v>64</v>
      </c>
      <c r="U93" s="3" t="s">
        <v>65</v>
      </c>
      <c r="V93" s="3" t="s">
        <v>66</v>
      </c>
    </row>
    <row r="94" spans="1:23" x14ac:dyDescent="0.2">
      <c r="A94" s="3" t="s">
        <v>46</v>
      </c>
      <c r="B94" s="5">
        <f>(B71/$W71)</f>
        <v>0.25784333429454409</v>
      </c>
      <c r="C94" s="4">
        <f t="shared" ref="C94:V94" si="5">(C71/$W71)</f>
        <v>9.5159866828616116E-2</v>
      </c>
      <c r="D94" s="4">
        <f t="shared" si="5"/>
        <v>5.6577448830089978E-2</v>
      </c>
      <c r="E94" s="4">
        <f t="shared" si="5"/>
        <v>4.6907085871075421E-2</v>
      </c>
      <c r="F94" s="4">
        <f t="shared" si="5"/>
        <v>3.0583979237847236E-2</v>
      </c>
      <c r="G94" s="4">
        <f t="shared" si="5"/>
        <v>3.5532758354523665E-2</v>
      </c>
      <c r="H94" s="4">
        <f t="shared" si="5"/>
        <v>9.7804652842708048E-2</v>
      </c>
      <c r="I94" s="4">
        <f t="shared" si="5"/>
        <v>2.5544904563420977E-2</v>
      </c>
      <c r="J94" s="4">
        <f t="shared" si="5"/>
        <v>5.4655027277996718E-2</v>
      </c>
      <c r="K94" s="4">
        <f t="shared" si="5"/>
        <v>6.2210726529708694E-2</v>
      </c>
      <c r="L94" s="4">
        <f t="shared" si="5"/>
        <v>5.2301517256646189E-2</v>
      </c>
      <c r="M94" s="4">
        <f t="shared" si="5"/>
        <v>2.8344066853665854E-2</v>
      </c>
      <c r="N94" s="4">
        <f t="shared" si="5"/>
        <v>3.6173565538554747E-2</v>
      </c>
      <c r="O94" s="4">
        <f t="shared" si="5"/>
        <v>1.0267478744134429E-2</v>
      </c>
      <c r="P94" s="4">
        <f t="shared" si="5"/>
        <v>3.0173280088081861E-2</v>
      </c>
      <c r="Q94" s="4">
        <f t="shared" si="5"/>
        <v>1.6442529790252156E-2</v>
      </c>
      <c r="R94" s="4">
        <f t="shared" si="5"/>
        <v>2.3025367226207849E-2</v>
      </c>
      <c r="S94" s="4">
        <f t="shared" si="5"/>
        <v>1.1517052752995045E-2</v>
      </c>
      <c r="T94" s="4">
        <f t="shared" si="5"/>
        <v>6.9614962265195143E-3</v>
      </c>
      <c r="U94" s="4">
        <f t="shared" si="5"/>
        <v>1.5120136783206192E-2</v>
      </c>
      <c r="V94" s="4">
        <f t="shared" si="5"/>
        <v>6.8537241092051955E-3</v>
      </c>
      <c r="W94" s="4">
        <f>LARGE(B94:V94, 2)</f>
        <v>9.7804652842708048E-2</v>
      </c>
    </row>
    <row r="95" spans="1:23" x14ac:dyDescent="0.2">
      <c r="A95" s="3" t="s">
        <v>47</v>
      </c>
      <c r="B95" s="4">
        <f t="shared" ref="B95:V107" si="6">(B72/$W72)</f>
        <v>0.10498476805018188</v>
      </c>
      <c r="C95" s="5">
        <f t="shared" si="6"/>
        <v>0.29751147216473645</v>
      </c>
      <c r="D95" s="4">
        <f t="shared" si="6"/>
        <v>5.9822358188619099E-2</v>
      </c>
      <c r="E95" s="4">
        <f t="shared" si="6"/>
        <v>2.5479774284355439E-2</v>
      </c>
      <c r="F95" s="4">
        <f t="shared" si="6"/>
        <v>2.0412098152885073E-2</v>
      </c>
      <c r="G95" s="4">
        <f t="shared" si="6"/>
        <v>1.5337995038369089E-2</v>
      </c>
      <c r="H95" s="4">
        <f t="shared" si="6"/>
        <v>2.7308250960833964E-2</v>
      </c>
      <c r="I95" s="4">
        <f t="shared" si="6"/>
        <v>1.5620782292376312E-2</v>
      </c>
      <c r="J95" s="4">
        <f t="shared" si="6"/>
        <v>2.815018573981002E-2</v>
      </c>
      <c r="K95" s="4">
        <f t="shared" si="6"/>
        <v>4.6888054809311415E-2</v>
      </c>
      <c r="L95" s="4">
        <f t="shared" si="6"/>
        <v>0.1043709911693253</v>
      </c>
      <c r="M95" s="4">
        <f t="shared" si="6"/>
        <v>9.9213337275216265E-2</v>
      </c>
      <c r="N95" s="4">
        <f t="shared" si="6"/>
        <v>5.0843862873889742E-2</v>
      </c>
      <c r="O95" s="4">
        <f t="shared" si="6"/>
        <v>8.204043857732303E-3</v>
      </c>
      <c r="P95" s="4">
        <f t="shared" si="6"/>
        <v>1.6880470969317583E-2</v>
      </c>
      <c r="Q95" s="4">
        <f t="shared" si="6"/>
        <v>1.1973469413987687E-2</v>
      </c>
      <c r="R95" s="4">
        <f t="shared" si="6"/>
        <v>3.1186935228864867E-2</v>
      </c>
      <c r="S95" s="4">
        <f t="shared" si="6"/>
        <v>1.2542257413524943E-2</v>
      </c>
      <c r="T95" s="4">
        <f t="shared" si="6"/>
        <v>6.7194107741943773E-3</v>
      </c>
      <c r="U95" s="4">
        <f t="shared" si="6"/>
        <v>1.1064051313032636E-2</v>
      </c>
      <c r="V95" s="4">
        <f t="shared" si="6"/>
        <v>5.4854300294355819E-3</v>
      </c>
      <c r="W95" s="4">
        <f t="shared" ref="W95:W114" si="7">LARGE(B95:V95, 2)</f>
        <v>0.10498476805018188</v>
      </c>
    </row>
    <row r="96" spans="1:23" x14ac:dyDescent="0.2">
      <c r="A96" s="3" t="s">
        <v>48</v>
      </c>
      <c r="B96" s="4">
        <f t="shared" si="6"/>
        <v>7.6052952024463494E-2</v>
      </c>
      <c r="C96" s="4">
        <f t="shared" si="6"/>
        <v>7.2889299572045527E-2</v>
      </c>
      <c r="D96" s="5">
        <f t="shared" si="6"/>
        <v>0.24186279615193362</v>
      </c>
      <c r="E96" s="4">
        <f t="shared" si="6"/>
        <v>9.8507836696019202E-2</v>
      </c>
      <c r="F96" s="4">
        <f t="shared" si="6"/>
        <v>3.093958128589943E-2</v>
      </c>
      <c r="G96" s="4">
        <f t="shared" si="6"/>
        <v>2.0900466325503814E-2</v>
      </c>
      <c r="H96" s="4">
        <f t="shared" si="6"/>
        <v>2.8151808332778649E-2</v>
      </c>
      <c r="I96" s="4">
        <f t="shared" si="6"/>
        <v>1.9330386333647871E-2</v>
      </c>
      <c r="J96" s="4">
        <f t="shared" si="6"/>
        <v>1.6617006198096328E-2</v>
      </c>
      <c r="K96" s="4">
        <f t="shared" si="6"/>
        <v>2.2681978535714426E-2</v>
      </c>
      <c r="L96" s="4">
        <f t="shared" si="6"/>
        <v>2.4169834887099111E-2</v>
      </c>
      <c r="M96" s="4">
        <f t="shared" si="6"/>
        <v>1.9283401396235723E-2</v>
      </c>
      <c r="N96" s="4">
        <f t="shared" si="6"/>
        <v>0.12052027987361053</v>
      </c>
      <c r="O96" s="4">
        <f t="shared" si="6"/>
        <v>6.8895579892012948E-2</v>
      </c>
      <c r="P96" s="4">
        <f t="shared" si="6"/>
        <v>4.0978696246295042E-2</v>
      </c>
      <c r="Q96" s="4">
        <f t="shared" si="6"/>
        <v>1.8743074615996023E-2</v>
      </c>
      <c r="R96" s="4">
        <f t="shared" si="6"/>
        <v>1.8559050277798441E-2</v>
      </c>
      <c r="S96" s="4">
        <f t="shared" si="6"/>
        <v>1.8852706136624368E-2</v>
      </c>
      <c r="T96" s="4">
        <f t="shared" si="6"/>
        <v>1.5309258773458208E-2</v>
      </c>
      <c r="U96" s="4">
        <f t="shared" si="6"/>
        <v>1.8860536959526393E-2</v>
      </c>
      <c r="V96" s="4">
        <f t="shared" si="6"/>
        <v>7.8934694852408564E-3</v>
      </c>
      <c r="W96" s="4">
        <f t="shared" si="7"/>
        <v>0.12052027987361053</v>
      </c>
    </row>
    <row r="97" spans="1:23" x14ac:dyDescent="0.2">
      <c r="A97" s="3" t="s">
        <v>49</v>
      </c>
      <c r="B97" s="4">
        <f t="shared" si="6"/>
        <v>5.0966380038800781E-2</v>
      </c>
      <c r="C97" s="4">
        <f t="shared" si="6"/>
        <v>2.5093916252338016E-2</v>
      </c>
      <c r="D97" s="4">
        <f t="shared" si="6"/>
        <v>7.9623891914815503E-2</v>
      </c>
      <c r="E97" s="5">
        <f t="shared" si="6"/>
        <v>0.27439053336835745</v>
      </c>
      <c r="F97" s="4">
        <f t="shared" si="6"/>
        <v>7.9114354707522483E-2</v>
      </c>
      <c r="G97" s="4">
        <f t="shared" si="6"/>
        <v>3.0588056574454146E-2</v>
      </c>
      <c r="H97" s="4">
        <f t="shared" si="6"/>
        <v>6.9623037411424393E-2</v>
      </c>
      <c r="I97" s="4">
        <f t="shared" si="6"/>
        <v>2.7856810550268535E-2</v>
      </c>
      <c r="J97" s="4">
        <f t="shared" si="6"/>
        <v>2.0422631047589509E-2</v>
      </c>
      <c r="K97" s="4">
        <f t="shared" si="6"/>
        <v>2.1517661319163345E-2</v>
      </c>
      <c r="L97" s="4">
        <f t="shared" si="6"/>
        <v>2.1039772385615226E-2</v>
      </c>
      <c r="M97" s="4">
        <f t="shared" si="6"/>
        <v>1.4064492852237374E-2</v>
      </c>
      <c r="N97" s="4">
        <f t="shared" si="6"/>
        <v>3.1246340668348246E-2</v>
      </c>
      <c r="O97" s="4">
        <f t="shared" si="6"/>
        <v>2.8337864311191147E-2</v>
      </c>
      <c r="P97" s="4">
        <f t="shared" si="6"/>
        <v>0.12085209812230792</v>
      </c>
      <c r="Q97" s="4">
        <f t="shared" si="6"/>
        <v>2.9635443534732398E-2</v>
      </c>
      <c r="R97" s="4">
        <f t="shared" si="6"/>
        <v>1.3450516341586147E-2</v>
      </c>
      <c r="S97" s="4">
        <f t="shared" si="6"/>
        <v>1.2102299880053043E-2</v>
      </c>
      <c r="T97" s="4">
        <f t="shared" si="6"/>
        <v>1.2171926082291841E-2</v>
      </c>
      <c r="U97" s="4">
        <f t="shared" si="6"/>
        <v>2.9097422881068952E-2</v>
      </c>
      <c r="V97" s="4">
        <f t="shared" si="6"/>
        <v>8.8045497558335677E-3</v>
      </c>
      <c r="W97" s="4">
        <f t="shared" si="7"/>
        <v>0.12085209812230792</v>
      </c>
    </row>
    <row r="98" spans="1:23" x14ac:dyDescent="0.2">
      <c r="A98" s="3" t="s">
        <v>50</v>
      </c>
      <c r="B98" s="4">
        <f t="shared" si="6"/>
        <v>3.1242561294929777E-2</v>
      </c>
      <c r="C98" s="4">
        <f t="shared" si="6"/>
        <v>1.8900261842418473E-2</v>
      </c>
      <c r="D98" s="4">
        <f t="shared" si="6"/>
        <v>2.3512258985955724E-2</v>
      </c>
      <c r="E98" s="4">
        <f t="shared" si="6"/>
        <v>7.4381099738157583E-2</v>
      </c>
      <c r="F98" s="5">
        <f t="shared" si="6"/>
        <v>0.25271363960961674</v>
      </c>
      <c r="G98" s="4">
        <f t="shared" si="6"/>
        <v>0.13496191383004047</v>
      </c>
      <c r="H98" s="4">
        <f t="shared" si="6"/>
        <v>5.4549512020947391E-2</v>
      </c>
      <c r="I98" s="4">
        <f t="shared" si="6"/>
        <v>8.6544870268983581E-2</v>
      </c>
      <c r="J98" s="4">
        <f t="shared" si="6"/>
        <v>2.4562604141870982E-2</v>
      </c>
      <c r="K98" s="4">
        <f t="shared" si="6"/>
        <v>2.161092597000714E-2</v>
      </c>
      <c r="L98" s="4">
        <f t="shared" si="6"/>
        <v>1.6656748393239704E-2</v>
      </c>
      <c r="M98" s="4">
        <f t="shared" si="6"/>
        <v>1.1366341347298262E-2</v>
      </c>
      <c r="N98" s="4">
        <f t="shared" si="6"/>
        <v>2.0182694596524636E-2</v>
      </c>
      <c r="O98" s="4">
        <f t="shared" si="6"/>
        <v>1.0568912163770532E-2</v>
      </c>
      <c r="P98" s="4">
        <f t="shared" si="6"/>
        <v>8.3997857652939781E-2</v>
      </c>
      <c r="Q98" s="4">
        <f t="shared" si="6"/>
        <v>7.1230064270411814E-2</v>
      </c>
      <c r="R98" s="4">
        <f t="shared" si="6"/>
        <v>1.354736967388717E-2</v>
      </c>
      <c r="S98" s="4">
        <f t="shared" si="6"/>
        <v>8.0248750297548209E-3</v>
      </c>
      <c r="T98" s="4">
        <f t="shared" si="6"/>
        <v>7.4773863365865268E-3</v>
      </c>
      <c r="U98" s="4">
        <f t="shared" si="6"/>
        <v>2.1700190430849798E-2</v>
      </c>
      <c r="V98" s="4">
        <f t="shared" si="6"/>
        <v>1.2267912401809094E-2</v>
      </c>
      <c r="W98" s="4">
        <f t="shared" si="7"/>
        <v>0.13496191383004047</v>
      </c>
    </row>
    <row r="99" spans="1:23" x14ac:dyDescent="0.2">
      <c r="A99" s="3" t="s">
        <v>51</v>
      </c>
      <c r="B99" s="4">
        <f t="shared" si="6"/>
        <v>4.0723604267649455E-2</v>
      </c>
      <c r="C99" s="4">
        <f t="shared" si="6"/>
        <v>1.5933581700917358E-2</v>
      </c>
      <c r="D99" s="4">
        <f t="shared" si="6"/>
        <v>1.781970649895178E-2</v>
      </c>
      <c r="E99" s="4">
        <f t="shared" si="6"/>
        <v>3.226441800531453E-2</v>
      </c>
      <c r="F99" s="4">
        <f t="shared" si="6"/>
        <v>0.15141743113140782</v>
      </c>
      <c r="G99" s="5">
        <f t="shared" si="6"/>
        <v>0.29755371282831927</v>
      </c>
      <c r="H99" s="4">
        <f t="shared" si="6"/>
        <v>9.261707326843728E-2</v>
      </c>
      <c r="I99" s="4">
        <f t="shared" si="6"/>
        <v>0.12822310352655264</v>
      </c>
      <c r="J99" s="4">
        <f t="shared" si="6"/>
        <v>5.6002884268717704E-2</v>
      </c>
      <c r="K99" s="4">
        <f t="shared" si="6"/>
        <v>2.0196557571873039E-2</v>
      </c>
      <c r="L99" s="4">
        <f t="shared" si="6"/>
        <v>1.4685067232837934E-2</v>
      </c>
      <c r="M99" s="4">
        <f t="shared" si="6"/>
        <v>8.6928654408524614E-3</v>
      </c>
      <c r="N99" s="4">
        <f t="shared" si="6"/>
        <v>1.6557838934957068E-2</v>
      </c>
      <c r="O99" s="4">
        <f t="shared" si="6"/>
        <v>6.4896046148299486E-3</v>
      </c>
      <c r="P99" s="4">
        <f t="shared" si="6"/>
        <v>2.6208789007731444E-2</v>
      </c>
      <c r="Q99" s="4">
        <f t="shared" si="6"/>
        <v>3.1356407483074951E-2</v>
      </c>
      <c r="R99" s="4">
        <f t="shared" si="6"/>
        <v>9.9714243747412844E-3</v>
      </c>
      <c r="S99" s="4">
        <f t="shared" si="6"/>
        <v>6.7232837933474876E-3</v>
      </c>
      <c r="T99" s="4">
        <f t="shared" si="6"/>
        <v>5.050808529957671E-3</v>
      </c>
      <c r="U99" s="4">
        <f t="shared" si="6"/>
        <v>1.3576760271869033E-2</v>
      </c>
      <c r="V99" s="4">
        <f t="shared" si="6"/>
        <v>7.9350772476598705E-3</v>
      </c>
      <c r="W99" s="4">
        <f t="shared" si="7"/>
        <v>0.15141743113140782</v>
      </c>
    </row>
    <row r="100" spans="1:23" x14ac:dyDescent="0.2">
      <c r="A100" s="3" t="s">
        <v>52</v>
      </c>
      <c r="B100" s="4">
        <f t="shared" si="6"/>
        <v>0.11433610961665498</v>
      </c>
      <c r="C100" s="4">
        <f t="shared" si="6"/>
        <v>2.8936454211755731E-2</v>
      </c>
      <c r="D100" s="4">
        <f t="shared" si="6"/>
        <v>2.448259658537582E-2</v>
      </c>
      <c r="E100" s="4">
        <f t="shared" si="6"/>
        <v>7.4908573335421794E-2</v>
      </c>
      <c r="F100" s="4">
        <f t="shared" si="6"/>
        <v>6.24255136578157E-2</v>
      </c>
      <c r="G100" s="4">
        <f t="shared" si="6"/>
        <v>9.4470814974223466E-2</v>
      </c>
      <c r="H100" s="5">
        <f t="shared" si="6"/>
        <v>0.24957266121398267</v>
      </c>
      <c r="I100" s="4">
        <f t="shared" si="6"/>
        <v>4.4555601713441251E-2</v>
      </c>
      <c r="J100" s="4">
        <f t="shared" si="6"/>
        <v>8.4773118858069041E-2</v>
      </c>
      <c r="K100" s="4">
        <f t="shared" si="6"/>
        <v>3.908702728839069E-2</v>
      </c>
      <c r="L100" s="4">
        <f t="shared" si="6"/>
        <v>2.7063654751121977E-2</v>
      </c>
      <c r="M100" s="4">
        <f t="shared" si="6"/>
        <v>1.3504586656133589E-2</v>
      </c>
      <c r="N100" s="4">
        <f t="shared" si="6"/>
        <v>1.9708660505723955E-2</v>
      </c>
      <c r="O100" s="4">
        <f t="shared" si="6"/>
        <v>8.8668541736187257E-3</v>
      </c>
      <c r="P100" s="4">
        <f t="shared" si="6"/>
        <v>3.6185890669372577E-2</v>
      </c>
      <c r="Q100" s="4">
        <f t="shared" si="6"/>
        <v>2.2889014498872914E-2</v>
      </c>
      <c r="R100" s="4">
        <f t="shared" si="6"/>
        <v>1.3187913292790062E-2</v>
      </c>
      <c r="S100" s="4">
        <f t="shared" si="6"/>
        <v>7.4741723928928964E-3</v>
      </c>
      <c r="T100" s="4">
        <f t="shared" si="6"/>
        <v>5.9044259358889666E-3</v>
      </c>
      <c r="U100" s="4">
        <f t="shared" si="6"/>
        <v>2.0256879984200383E-2</v>
      </c>
      <c r="V100" s="4">
        <f t="shared" si="6"/>
        <v>7.4094756842528215E-3</v>
      </c>
      <c r="W100" s="4">
        <f t="shared" si="7"/>
        <v>0.11433610961665498</v>
      </c>
    </row>
    <row r="101" spans="1:23" x14ac:dyDescent="0.2">
      <c r="A101" s="3" t="s">
        <v>53</v>
      </c>
      <c r="B101" s="4">
        <f t="shared" si="6"/>
        <v>1.8267179897353863E-2</v>
      </c>
      <c r="C101" s="4">
        <f t="shared" si="6"/>
        <v>1.0125058321669E-2</v>
      </c>
      <c r="D101" s="4">
        <f t="shared" si="6"/>
        <v>1.0283359994667732E-2</v>
      </c>
      <c r="E101" s="4">
        <f t="shared" si="6"/>
        <v>1.833383323335333E-2</v>
      </c>
      <c r="F101" s="4">
        <f t="shared" si="6"/>
        <v>6.0583716590015331E-2</v>
      </c>
      <c r="G101" s="4">
        <f t="shared" si="6"/>
        <v>8.0004832366859957E-2</v>
      </c>
      <c r="H101" s="4">
        <f t="shared" si="6"/>
        <v>2.7254965673531962E-2</v>
      </c>
      <c r="I101" s="5">
        <f t="shared" si="6"/>
        <v>0.53704675731520357</v>
      </c>
      <c r="J101" s="4">
        <f t="shared" si="6"/>
        <v>5.0475321602346197E-2</v>
      </c>
      <c r="K101" s="4">
        <f t="shared" si="6"/>
        <v>1.3741001799640072E-2</v>
      </c>
      <c r="L101" s="4">
        <f t="shared" si="6"/>
        <v>1.0695777511164434E-2</v>
      </c>
      <c r="M101" s="4">
        <f t="shared" si="6"/>
        <v>5.9717223222022263E-3</v>
      </c>
      <c r="N101" s="4">
        <f t="shared" si="6"/>
        <v>1.1626841298406985E-2</v>
      </c>
      <c r="O101" s="4">
        <f t="shared" si="6"/>
        <v>5.3739252149570087E-3</v>
      </c>
      <c r="P101" s="4">
        <f t="shared" si="6"/>
        <v>2.4532593481303738E-2</v>
      </c>
      <c r="Q101" s="4">
        <f t="shared" si="6"/>
        <v>7.4147670465906812E-2</v>
      </c>
      <c r="R101" s="4">
        <f t="shared" si="6"/>
        <v>7.848430313937213E-3</v>
      </c>
      <c r="S101" s="4">
        <f t="shared" si="6"/>
        <v>5.982136905952143E-3</v>
      </c>
      <c r="T101" s="4">
        <f t="shared" si="6"/>
        <v>4.8136206092114914E-3</v>
      </c>
      <c r="U101" s="4">
        <f t="shared" si="6"/>
        <v>1.4655402252882756E-2</v>
      </c>
      <c r="V101" s="4">
        <f t="shared" si="6"/>
        <v>8.2358528294341135E-3</v>
      </c>
      <c r="W101" s="4">
        <f t="shared" si="7"/>
        <v>8.0004832366859957E-2</v>
      </c>
    </row>
    <row r="102" spans="1:23" x14ac:dyDescent="0.2">
      <c r="A102" s="3" t="s">
        <v>54</v>
      </c>
      <c r="B102" s="4">
        <f t="shared" si="6"/>
        <v>6.9500929691609065E-2</v>
      </c>
      <c r="C102" s="4">
        <f t="shared" si="6"/>
        <v>3.2446607551614555E-2</v>
      </c>
      <c r="D102" s="4">
        <f t="shared" si="6"/>
        <v>1.5719566489617826E-2</v>
      </c>
      <c r="E102" s="4">
        <f t="shared" si="6"/>
        <v>2.3901593439562639E-2</v>
      </c>
      <c r="F102" s="4">
        <f t="shared" si="6"/>
        <v>3.0576112481572847E-2</v>
      </c>
      <c r="G102" s="4">
        <f t="shared" si="6"/>
        <v>6.2137475831722112E-2</v>
      </c>
      <c r="H102" s="4">
        <f t="shared" si="6"/>
        <v>9.2213554977739254E-2</v>
      </c>
      <c r="I102" s="4">
        <f t="shared" si="6"/>
        <v>8.9757835707565695E-2</v>
      </c>
      <c r="J102" s="5">
        <f t="shared" si="6"/>
        <v>0.27975939136683187</v>
      </c>
      <c r="K102" s="4">
        <f t="shared" si="6"/>
        <v>0.13806105592224666</v>
      </c>
      <c r="L102" s="4">
        <f t="shared" si="6"/>
        <v>4.1065700676341382E-2</v>
      </c>
      <c r="M102" s="4">
        <f t="shared" si="6"/>
        <v>1.5215829203428377E-2</v>
      </c>
      <c r="N102" s="4">
        <f t="shared" si="6"/>
        <v>1.612700105932988E-2</v>
      </c>
      <c r="O102" s="4">
        <f t="shared" si="6"/>
        <v>6.5522886710965914E-3</v>
      </c>
      <c r="P102" s="4">
        <f t="shared" si="6"/>
        <v>2.239778948226178E-2</v>
      </c>
      <c r="Q102" s="4">
        <f t="shared" si="6"/>
        <v>1.7908601314161686E-2</v>
      </c>
      <c r="R102" s="4">
        <f t="shared" si="6"/>
        <v>1.3615722529650124E-2</v>
      </c>
      <c r="S102" s="4">
        <f t="shared" si="6"/>
        <v>6.1744857064545047E-3</v>
      </c>
      <c r="T102" s="4">
        <f t="shared" si="6"/>
        <v>5.1596032328081135E-3</v>
      </c>
      <c r="U102" s="4">
        <f t="shared" si="6"/>
        <v>1.6071441799823692E-2</v>
      </c>
      <c r="V102" s="4">
        <f t="shared" si="6"/>
        <v>5.6374128645613414E-3</v>
      </c>
      <c r="W102" s="4">
        <f t="shared" si="7"/>
        <v>0.13806105592224666</v>
      </c>
    </row>
    <row r="103" spans="1:23" x14ac:dyDescent="0.2">
      <c r="A103" s="3" t="s">
        <v>55</v>
      </c>
      <c r="B103" s="4">
        <f t="shared" si="6"/>
        <v>4.9142570516758591E-2</v>
      </c>
      <c r="C103" s="4">
        <f t="shared" si="6"/>
        <v>3.3572396591910504E-2</v>
      </c>
      <c r="D103" s="4">
        <f t="shared" si="6"/>
        <v>1.3329099681785864E-2</v>
      </c>
      <c r="E103" s="4">
        <f t="shared" si="6"/>
        <v>1.5643802647412757E-2</v>
      </c>
      <c r="F103" s="4">
        <f t="shared" si="6"/>
        <v>1.6711419124600505E-2</v>
      </c>
      <c r="G103" s="4">
        <f t="shared" si="6"/>
        <v>1.392043035988339E-2</v>
      </c>
      <c r="H103" s="4">
        <f t="shared" si="6"/>
        <v>2.6412003322496106E-2</v>
      </c>
      <c r="I103" s="4">
        <f t="shared" si="6"/>
        <v>1.517902133622326E-2</v>
      </c>
      <c r="J103" s="4">
        <f t="shared" si="6"/>
        <v>8.5763656402362567E-2</v>
      </c>
      <c r="K103" s="5">
        <f t="shared" si="6"/>
        <v>0.45533382572541548</v>
      </c>
      <c r="L103" s="4">
        <f t="shared" si="6"/>
        <v>0.17991638538193749</v>
      </c>
      <c r="M103" s="4">
        <f t="shared" si="6"/>
        <v>2.1745783029959987E-2</v>
      </c>
      <c r="N103" s="4">
        <f t="shared" si="6"/>
        <v>1.335440955516747E-2</v>
      </c>
      <c r="O103" s="4">
        <f t="shared" si="6"/>
        <v>4.3348910409950923E-3</v>
      </c>
      <c r="P103" s="4">
        <f t="shared" si="6"/>
        <v>9.9306739559102009E-3</v>
      </c>
      <c r="Q103" s="4">
        <f t="shared" si="6"/>
        <v>8.2648241078844865E-3</v>
      </c>
      <c r="R103" s="4">
        <f t="shared" si="6"/>
        <v>1.4863798367743257E-2</v>
      </c>
      <c r="S103" s="4">
        <f t="shared" si="6"/>
        <v>6.6104787477595014E-3</v>
      </c>
      <c r="T103" s="4">
        <f t="shared" si="6"/>
        <v>4.1600228249039951E-3</v>
      </c>
      <c r="U103" s="4">
        <f t="shared" si="6"/>
        <v>7.3674740516275396E-3</v>
      </c>
      <c r="V103" s="4">
        <f t="shared" si="6"/>
        <v>4.4430332272619548E-3</v>
      </c>
      <c r="W103" s="4">
        <f t="shared" si="7"/>
        <v>0.17991638538193749</v>
      </c>
    </row>
    <row r="104" spans="1:23" x14ac:dyDescent="0.2">
      <c r="A104" s="3" t="s">
        <v>56</v>
      </c>
      <c r="B104" s="4">
        <f t="shared" si="6"/>
        <v>3.6308048189652734E-2</v>
      </c>
      <c r="C104" s="4">
        <f t="shared" si="6"/>
        <v>6.5674376094438131E-2</v>
      </c>
      <c r="D104" s="4">
        <f t="shared" si="6"/>
        <v>1.2482155350563951E-2</v>
      </c>
      <c r="E104" s="4">
        <f t="shared" si="6"/>
        <v>1.344263223239092E-2</v>
      </c>
      <c r="F104" s="4">
        <f t="shared" si="6"/>
        <v>1.131947280940499E-2</v>
      </c>
      <c r="G104" s="4">
        <f t="shared" si="6"/>
        <v>8.8950269540143886E-3</v>
      </c>
      <c r="H104" s="4">
        <f t="shared" si="6"/>
        <v>1.6071305803706835E-2</v>
      </c>
      <c r="I104" s="4">
        <f t="shared" si="6"/>
        <v>1.038326060669786E-2</v>
      </c>
      <c r="J104" s="4">
        <f t="shared" si="6"/>
        <v>2.2418541450138108E-2</v>
      </c>
      <c r="K104" s="4">
        <f t="shared" si="6"/>
        <v>0.15811269325805891</v>
      </c>
      <c r="L104" s="5">
        <f t="shared" si="6"/>
        <v>0.471527421109462</v>
      </c>
      <c r="M104" s="4">
        <f t="shared" si="6"/>
        <v>7.8603405952125782E-2</v>
      </c>
      <c r="N104" s="4">
        <f t="shared" si="6"/>
        <v>1.6667812498736216E-2</v>
      </c>
      <c r="O104" s="4">
        <f t="shared" si="6"/>
        <v>4.7093698058421262E-3</v>
      </c>
      <c r="P104" s="4">
        <f t="shared" si="6"/>
        <v>9.6593643462893237E-3</v>
      </c>
      <c r="Q104" s="4">
        <f t="shared" si="6"/>
        <v>7.1783009062857655E-3</v>
      </c>
      <c r="R104" s="4">
        <f t="shared" si="6"/>
        <v>3.3099044376053995E-2</v>
      </c>
      <c r="S104" s="4">
        <f t="shared" si="6"/>
        <v>7.5544034326432731E-3</v>
      </c>
      <c r="T104" s="4">
        <f t="shared" si="6"/>
        <v>4.1553262992724644E-3</v>
      </c>
      <c r="U104" s="4">
        <f t="shared" si="6"/>
        <v>7.8172707897748647E-3</v>
      </c>
      <c r="V104" s="4">
        <f t="shared" si="6"/>
        <v>3.9207677344473514E-3</v>
      </c>
      <c r="W104" s="4">
        <f t="shared" si="7"/>
        <v>0.15811269325805891</v>
      </c>
    </row>
    <row r="105" spans="1:23" x14ac:dyDescent="0.2">
      <c r="A105" s="3" t="s">
        <v>57</v>
      </c>
      <c r="B105" s="4">
        <f t="shared" si="6"/>
        <v>3.5319182914966829E-2</v>
      </c>
      <c r="C105" s="4">
        <f t="shared" si="6"/>
        <v>0.11205882779947444</v>
      </c>
      <c r="D105" s="4">
        <f t="shared" si="6"/>
        <v>1.7875549877321099E-2</v>
      </c>
      <c r="E105" s="4">
        <f t="shared" si="6"/>
        <v>1.6129734752246692E-2</v>
      </c>
      <c r="F105" s="4">
        <f t="shared" si="6"/>
        <v>1.3864893508906923E-2</v>
      </c>
      <c r="G105" s="4">
        <f t="shared" si="6"/>
        <v>9.4513567270140385E-3</v>
      </c>
      <c r="H105" s="4">
        <f t="shared" si="6"/>
        <v>1.4394808286996037E-2</v>
      </c>
      <c r="I105" s="4">
        <f t="shared" si="6"/>
        <v>1.0405929238229359E-2</v>
      </c>
      <c r="J105" s="4">
        <f t="shared" si="6"/>
        <v>1.4910204851986818E-2</v>
      </c>
      <c r="K105" s="4">
        <f t="shared" si="6"/>
        <v>3.4302907998083595E-2</v>
      </c>
      <c r="L105" s="4">
        <f t="shared" si="6"/>
        <v>0.14109162444286358</v>
      </c>
      <c r="M105" s="5">
        <f t="shared" si="6"/>
        <v>0.35607369444968712</v>
      </c>
      <c r="N105" s="4">
        <f t="shared" si="6"/>
        <v>5.9742446899635593E-2</v>
      </c>
      <c r="O105" s="4">
        <f t="shared" si="6"/>
        <v>6.7400804309005651E-3</v>
      </c>
      <c r="P105" s="4">
        <f t="shared" si="6"/>
        <v>1.2467515498192482E-2</v>
      </c>
      <c r="Q105" s="4">
        <f t="shared" si="6"/>
        <v>8.5221910887207999E-3</v>
      </c>
      <c r="R105" s="4">
        <f t="shared" si="6"/>
        <v>0.10497031025421391</v>
      </c>
      <c r="S105" s="4">
        <f t="shared" si="6"/>
        <v>1.2739731993786205E-2</v>
      </c>
      <c r="T105" s="4">
        <f t="shared" si="6"/>
        <v>5.3572206332844555E-3</v>
      </c>
      <c r="U105" s="4">
        <f t="shared" si="6"/>
        <v>8.8561099899824337E-3</v>
      </c>
      <c r="V105" s="4">
        <f t="shared" si="6"/>
        <v>4.7256783635070193E-3</v>
      </c>
      <c r="W105" s="4">
        <f t="shared" si="7"/>
        <v>0.14109162444286358</v>
      </c>
    </row>
    <row r="106" spans="1:23" x14ac:dyDescent="0.2">
      <c r="A106" s="3" t="s">
        <v>58</v>
      </c>
      <c r="B106" s="4">
        <f t="shared" si="6"/>
        <v>2.7653946014794494E-2</v>
      </c>
      <c r="C106" s="4">
        <f t="shared" si="6"/>
        <v>3.5231559211375996E-2</v>
      </c>
      <c r="D106" s="4">
        <f t="shared" si="6"/>
        <v>6.8541437497494917E-2</v>
      </c>
      <c r="E106" s="4">
        <f t="shared" si="6"/>
        <v>2.1984653273537807E-2</v>
      </c>
      <c r="F106" s="4">
        <f t="shared" si="6"/>
        <v>1.5104011258422662E-2</v>
      </c>
      <c r="G106" s="4">
        <f t="shared" si="6"/>
        <v>1.1044655144003598E-2</v>
      </c>
      <c r="H106" s="4">
        <f t="shared" si="6"/>
        <v>1.2888399994655813E-2</v>
      </c>
      <c r="I106" s="4">
        <f t="shared" si="6"/>
        <v>1.2429690526981469E-2</v>
      </c>
      <c r="J106" s="4">
        <f t="shared" si="6"/>
        <v>9.6952476808450944E-3</v>
      </c>
      <c r="K106" s="4">
        <f t="shared" si="6"/>
        <v>1.2924027914475179E-2</v>
      </c>
      <c r="L106" s="4">
        <f t="shared" si="6"/>
        <v>1.835505894193985E-2</v>
      </c>
      <c r="M106" s="4">
        <f t="shared" si="6"/>
        <v>3.665222251417323E-2</v>
      </c>
      <c r="N106" s="5">
        <f t="shared" si="6"/>
        <v>0.45101383699335984</v>
      </c>
      <c r="O106" s="4">
        <f t="shared" si="6"/>
        <v>6.2159586359850895E-2</v>
      </c>
      <c r="P106" s="4">
        <f t="shared" si="6"/>
        <v>1.7911936689186482E-2</v>
      </c>
      <c r="Q106" s="4">
        <f t="shared" si="6"/>
        <v>1.0663881750934119E-2</v>
      </c>
      <c r="R106" s="4">
        <f t="shared" si="6"/>
        <v>2.8150510147276913E-2</v>
      </c>
      <c r="S106" s="4">
        <f t="shared" si="6"/>
        <v>9.8199454002128775E-2</v>
      </c>
      <c r="T106" s="4">
        <f t="shared" si="6"/>
        <v>2.9437568750751528E-2</v>
      </c>
      <c r="U106" s="4">
        <f t="shared" si="6"/>
        <v>1.4264528397678842E-2</v>
      </c>
      <c r="V106" s="4">
        <f t="shared" si="6"/>
        <v>5.6937869361324998E-3</v>
      </c>
      <c r="W106" s="4">
        <f t="shared" si="7"/>
        <v>9.8199454002128775E-2</v>
      </c>
    </row>
    <row r="107" spans="1:23" x14ac:dyDescent="0.2">
      <c r="A107" s="3" t="s">
        <v>59</v>
      </c>
      <c r="B107" s="4">
        <f t="shared" si="6"/>
        <v>1.9643026307724028E-2</v>
      </c>
      <c r="C107" s="4">
        <f t="shared" si="6"/>
        <v>1.4226566287551616E-2</v>
      </c>
      <c r="D107" s="4">
        <f t="shared" si="6"/>
        <v>9.8053529336372194E-2</v>
      </c>
      <c r="E107" s="4">
        <f t="shared" ref="E107:Y107" si="8">(E84/$W84)</f>
        <v>4.9896073066485372E-2</v>
      </c>
      <c r="F107" s="4">
        <f t="shared" si="8"/>
        <v>1.9793483530506594E-2</v>
      </c>
      <c r="G107" s="4">
        <f t="shared" si="8"/>
        <v>1.0832920040344826E-2</v>
      </c>
      <c r="H107" s="4">
        <f t="shared" si="8"/>
        <v>1.4510763263918687E-2</v>
      </c>
      <c r="I107" s="4">
        <f t="shared" si="8"/>
        <v>1.4377023510334182E-2</v>
      </c>
      <c r="J107" s="4">
        <f t="shared" si="8"/>
        <v>9.8577343371244845E-3</v>
      </c>
      <c r="K107" s="4">
        <f t="shared" si="8"/>
        <v>1.0498570656383566E-2</v>
      </c>
      <c r="L107" s="4">
        <f t="shared" si="8"/>
        <v>1.2978328587429578E-2</v>
      </c>
      <c r="M107" s="4">
        <f t="shared" si="8"/>
        <v>1.0348113433600998E-2</v>
      </c>
      <c r="N107" s="4">
        <f t="shared" si="8"/>
        <v>0.15555605088797625</v>
      </c>
      <c r="O107" s="5">
        <f t="shared" si="8"/>
        <v>0.28885557778359794</v>
      </c>
      <c r="P107" s="4">
        <f t="shared" si="8"/>
        <v>8.7287479172819621E-2</v>
      </c>
      <c r="Q107" s="4">
        <f t="shared" si="8"/>
        <v>1.3797484578134666E-2</v>
      </c>
      <c r="R107" s="4">
        <f t="shared" si="8"/>
        <v>8.6039241472697578E-3</v>
      </c>
      <c r="S107" s="4">
        <f t="shared" si="8"/>
        <v>4.1570773405849998E-2</v>
      </c>
      <c r="T107" s="4">
        <f t="shared" si="8"/>
        <v>6.785620747493773E-2</v>
      </c>
      <c r="U107" s="4">
        <f t="shared" si="8"/>
        <v>4.4696940145887779E-2</v>
      </c>
      <c r="V107" s="4">
        <f t="shared" si="8"/>
        <v>6.759430045750141E-3</v>
      </c>
      <c r="W107" s="4">
        <f t="shared" si="7"/>
        <v>0.15555605088797625</v>
      </c>
    </row>
    <row r="108" spans="1:23" x14ac:dyDescent="0.2">
      <c r="A108" s="3" t="s">
        <v>60</v>
      </c>
      <c r="B108" s="4">
        <f t="shared" ref="B108:V114" si="9">(B85/$W85)</f>
        <v>2.5513458663468144E-2</v>
      </c>
      <c r="C108" s="4">
        <f t="shared" si="9"/>
        <v>1.293775445112445E-2</v>
      </c>
      <c r="D108" s="4">
        <f t="shared" si="9"/>
        <v>2.5776991830471822E-2</v>
      </c>
      <c r="E108" s="4">
        <f t="shared" si="9"/>
        <v>9.4049322571985186E-2</v>
      </c>
      <c r="F108" s="4">
        <f t="shared" si="9"/>
        <v>6.9528423406671078E-2</v>
      </c>
      <c r="G108" s="4">
        <f t="shared" si="9"/>
        <v>1.9336438263045506E-2</v>
      </c>
      <c r="H108" s="4">
        <f t="shared" si="9"/>
        <v>2.6173523044374553E-2</v>
      </c>
      <c r="I108" s="4">
        <f t="shared" si="9"/>
        <v>2.9008351784759901E-2</v>
      </c>
      <c r="J108" s="4">
        <f t="shared" si="9"/>
        <v>1.4893318325899399E-2</v>
      </c>
      <c r="K108" s="4">
        <f t="shared" si="9"/>
        <v>1.0629992044746454E-2</v>
      </c>
      <c r="L108" s="4">
        <f t="shared" si="9"/>
        <v>1.176540129697725E-2</v>
      </c>
      <c r="M108" s="4">
        <f t="shared" si="9"/>
        <v>8.4601535388563638E-3</v>
      </c>
      <c r="N108" s="4">
        <f t="shared" si="9"/>
        <v>1.9811783134369897E-2</v>
      </c>
      <c r="O108" s="4">
        <f t="shared" si="9"/>
        <v>3.8579285307902791E-2</v>
      </c>
      <c r="P108" s="5">
        <f t="shared" si="9"/>
        <v>0.35990749246960135</v>
      </c>
      <c r="Q108" s="4">
        <f t="shared" si="9"/>
        <v>7.2296753123606908E-2</v>
      </c>
      <c r="R108" s="4">
        <f t="shared" si="9"/>
        <v>8.6227067072885393E-3</v>
      </c>
      <c r="S108" s="4">
        <f t="shared" si="9"/>
        <v>8.9995345068358528E-3</v>
      </c>
      <c r="T108" s="4">
        <f t="shared" si="9"/>
        <v>1.2767812502308995E-2</v>
      </c>
      <c r="U108" s="4">
        <f t="shared" si="9"/>
        <v>0.11673041542186241</v>
      </c>
      <c r="V108" s="4">
        <f t="shared" si="9"/>
        <v>1.4211087603843152E-2</v>
      </c>
      <c r="W108" s="4">
        <f t="shared" si="7"/>
        <v>0.11673041542186241</v>
      </c>
    </row>
    <row r="109" spans="1:23" x14ac:dyDescent="0.2">
      <c r="A109" s="3" t="s">
        <v>61</v>
      </c>
      <c r="B109" s="4">
        <f t="shared" si="9"/>
        <v>1.5067476671435587E-2</v>
      </c>
      <c r="C109" s="4">
        <f t="shared" si="9"/>
        <v>9.9453353547863596E-3</v>
      </c>
      <c r="D109" s="4">
        <f t="shared" si="9"/>
        <v>1.2777326984262561E-2</v>
      </c>
      <c r="E109" s="4">
        <f t="shared" si="9"/>
        <v>2.4994127821314941E-2</v>
      </c>
      <c r="F109" s="4">
        <f t="shared" si="9"/>
        <v>6.3897311609831101E-2</v>
      </c>
      <c r="G109" s="4">
        <f t="shared" si="9"/>
        <v>2.5071533813072536E-2</v>
      </c>
      <c r="H109" s="4">
        <f t="shared" si="9"/>
        <v>1.7942175054984945E-2</v>
      </c>
      <c r="I109" s="4">
        <f t="shared" si="9"/>
        <v>9.5017189468514451E-2</v>
      </c>
      <c r="J109" s="4">
        <f t="shared" si="9"/>
        <v>1.2905447246482031E-2</v>
      </c>
      <c r="K109" s="4">
        <f t="shared" si="9"/>
        <v>9.5876662894236724E-3</v>
      </c>
      <c r="L109" s="4">
        <f t="shared" si="9"/>
        <v>9.4755610599816364E-3</v>
      </c>
      <c r="M109" s="4">
        <f t="shared" si="9"/>
        <v>6.2672161602357413E-3</v>
      </c>
      <c r="N109" s="4">
        <f t="shared" si="9"/>
        <v>1.2782665328521705E-2</v>
      </c>
      <c r="O109" s="4">
        <f t="shared" si="9"/>
        <v>6.6088701928209946E-3</v>
      </c>
      <c r="P109" s="4">
        <f t="shared" si="9"/>
        <v>7.8350878691465051E-2</v>
      </c>
      <c r="Q109" s="5">
        <f t="shared" si="9"/>
        <v>0.47446669940851144</v>
      </c>
      <c r="R109" s="4">
        <f t="shared" si="9"/>
        <v>7.4202985202109712E-3</v>
      </c>
      <c r="S109" s="4">
        <f t="shared" si="9"/>
        <v>7.7085691102047786E-3</v>
      </c>
      <c r="T109" s="4">
        <f t="shared" si="9"/>
        <v>7.3909376267856765E-3</v>
      </c>
      <c r="U109" s="4">
        <f t="shared" si="9"/>
        <v>5.6143366573423586E-2</v>
      </c>
      <c r="V109" s="4">
        <f t="shared" si="9"/>
        <v>4.6179347013730221E-2</v>
      </c>
      <c r="W109" s="4">
        <f t="shared" si="7"/>
        <v>9.5017189468514451E-2</v>
      </c>
    </row>
    <row r="110" spans="1:23" x14ac:dyDescent="0.2">
      <c r="A110" s="3" t="s">
        <v>62</v>
      </c>
      <c r="B110" s="4">
        <f t="shared" si="9"/>
        <v>2.7844017146701514E-2</v>
      </c>
      <c r="C110" s="4">
        <f t="shared" si="9"/>
        <v>3.418421080439446E-2</v>
      </c>
      <c r="D110" s="4">
        <f t="shared" si="9"/>
        <v>1.6695843298591421E-2</v>
      </c>
      <c r="E110" s="4">
        <f t="shared" si="9"/>
        <v>1.4969901691775008E-2</v>
      </c>
      <c r="F110" s="4">
        <f t="shared" si="9"/>
        <v>1.6037167624153321E-2</v>
      </c>
      <c r="G110" s="4">
        <f t="shared" si="9"/>
        <v>1.0521199141960459E-2</v>
      </c>
      <c r="H110" s="4">
        <f t="shared" si="9"/>
        <v>1.3641983353469318E-2</v>
      </c>
      <c r="I110" s="4">
        <f t="shared" si="9"/>
        <v>1.327213872343723E-2</v>
      </c>
      <c r="J110" s="4">
        <f t="shared" si="9"/>
        <v>1.2948084380932924E-2</v>
      </c>
      <c r="K110" s="4">
        <f t="shared" si="9"/>
        <v>2.2754250571498012E-2</v>
      </c>
      <c r="L110" s="4">
        <f t="shared" si="9"/>
        <v>5.7657016657097673E-2</v>
      </c>
      <c r="M110" s="4">
        <f t="shared" si="9"/>
        <v>0.10186930043007647</v>
      </c>
      <c r="N110" s="4">
        <f t="shared" si="9"/>
        <v>4.4529293455863449E-2</v>
      </c>
      <c r="O110" s="4">
        <f t="shared" si="9"/>
        <v>5.4384772263766142E-3</v>
      </c>
      <c r="P110" s="4">
        <f t="shared" si="9"/>
        <v>1.2331676664212777E-2</v>
      </c>
      <c r="Q110" s="4">
        <f t="shared" si="9"/>
        <v>9.7920768713257705E-3</v>
      </c>
      <c r="R110" s="5">
        <f t="shared" si="9"/>
        <v>0.52391133591402694</v>
      </c>
      <c r="S110" s="4">
        <f t="shared" si="9"/>
        <v>3.7400097920768711E-2</v>
      </c>
      <c r="T110" s="4">
        <f t="shared" si="9"/>
        <v>8.0696575943191868E-3</v>
      </c>
      <c r="U110" s="4">
        <f t="shared" si="9"/>
        <v>1.0493020503481823E-2</v>
      </c>
      <c r="V110" s="4">
        <f t="shared" si="9"/>
        <v>5.6392500255368913E-3</v>
      </c>
      <c r="W110" s="4">
        <f t="shared" si="7"/>
        <v>0.10186930043007647</v>
      </c>
    </row>
    <row r="111" spans="1:23" x14ac:dyDescent="0.2">
      <c r="A111" s="3" t="s">
        <v>63</v>
      </c>
      <c r="B111" s="4">
        <f t="shared" si="9"/>
        <v>1.6922675272093849E-2</v>
      </c>
      <c r="C111" s="4">
        <f t="shared" si="9"/>
        <v>1.6704401008341502E-2</v>
      </c>
      <c r="D111" s="4">
        <f t="shared" si="9"/>
        <v>2.060765843073644E-2</v>
      </c>
      <c r="E111" s="4">
        <f t="shared" si="9"/>
        <v>1.6366289893901587E-2</v>
      </c>
      <c r="F111" s="4">
        <f t="shared" si="9"/>
        <v>1.1542856653727141E-2</v>
      </c>
      <c r="G111" s="4">
        <f t="shared" si="9"/>
        <v>8.6196934744554917E-3</v>
      </c>
      <c r="H111" s="4">
        <f t="shared" si="9"/>
        <v>9.3943531164001007E-3</v>
      </c>
      <c r="I111" s="4">
        <f t="shared" si="9"/>
        <v>1.2291836970524415E-2</v>
      </c>
      <c r="J111" s="4">
        <f t="shared" si="9"/>
        <v>7.1345725034346096E-3</v>
      </c>
      <c r="K111" s="4">
        <f t="shared" si="9"/>
        <v>1.229611685804897E-2</v>
      </c>
      <c r="L111" s="4">
        <f t="shared" si="9"/>
        <v>1.5989659791740673E-2</v>
      </c>
      <c r="M111" s="4">
        <f t="shared" si="9"/>
        <v>1.502240521119105E-2</v>
      </c>
      <c r="N111" s="4">
        <f t="shared" si="9"/>
        <v>0.18874303983291318</v>
      </c>
      <c r="O111" s="4">
        <f t="shared" si="9"/>
        <v>3.1927960933186679E-2</v>
      </c>
      <c r="P111" s="4">
        <f t="shared" si="9"/>
        <v>1.5638709014727092E-2</v>
      </c>
      <c r="Q111" s="4">
        <f t="shared" si="9"/>
        <v>1.2360315170917308E-2</v>
      </c>
      <c r="R111" s="4">
        <f t="shared" si="9"/>
        <v>4.5443845735734067E-2</v>
      </c>
      <c r="S111" s="5">
        <f t="shared" si="9"/>
        <v>0.39115604041925778</v>
      </c>
      <c r="T111" s="4">
        <f t="shared" si="9"/>
        <v>0.12768188452007481</v>
      </c>
      <c r="U111" s="4">
        <f t="shared" si="9"/>
        <v>1.7864250527496139E-2</v>
      </c>
      <c r="V111" s="4">
        <f t="shared" si="9"/>
        <v>6.2914346610971061E-3</v>
      </c>
      <c r="W111" s="4">
        <f t="shared" si="7"/>
        <v>0.18874303983291318</v>
      </c>
    </row>
    <row r="112" spans="1:23" x14ac:dyDescent="0.2">
      <c r="A112" s="3" t="s">
        <v>64</v>
      </c>
      <c r="B112" s="4">
        <f t="shared" si="9"/>
        <v>1.6118480951192699E-2</v>
      </c>
      <c r="C112" s="4">
        <f t="shared" si="9"/>
        <v>1.4101984798721313E-2</v>
      </c>
      <c r="D112" s="4">
        <f t="shared" si="9"/>
        <v>2.6369565070779689E-2</v>
      </c>
      <c r="E112" s="4">
        <f t="shared" si="9"/>
        <v>2.5937940476270762E-2</v>
      </c>
      <c r="F112" s="4">
        <f t="shared" si="9"/>
        <v>1.6948009468764541E-2</v>
      </c>
      <c r="G112" s="4">
        <f t="shared" si="9"/>
        <v>1.0203875179562576E-2</v>
      </c>
      <c r="H112" s="4">
        <f t="shared" si="9"/>
        <v>1.169432885747621E-2</v>
      </c>
      <c r="I112" s="4">
        <f t="shared" si="9"/>
        <v>1.5585694342345744E-2</v>
      </c>
      <c r="J112" s="4">
        <f t="shared" si="9"/>
        <v>9.3945790648583393E-3</v>
      </c>
      <c r="K112" s="4">
        <f t="shared" si="9"/>
        <v>1.2193394794877155E-2</v>
      </c>
      <c r="L112" s="4">
        <f t="shared" si="9"/>
        <v>1.3859195964310041E-2</v>
      </c>
      <c r="M112" s="4">
        <f t="shared" si="9"/>
        <v>9.9543422108621035E-3</v>
      </c>
      <c r="N112" s="4">
        <f t="shared" si="9"/>
        <v>8.9157455303250005E-2</v>
      </c>
      <c r="O112" s="4">
        <f t="shared" si="9"/>
        <v>8.2123323239612342E-2</v>
      </c>
      <c r="P112" s="4">
        <f t="shared" si="9"/>
        <v>3.4961592155222994E-2</v>
      </c>
      <c r="Q112" s="4">
        <f t="shared" si="9"/>
        <v>1.8674507846800244E-2</v>
      </c>
      <c r="R112" s="4">
        <f t="shared" si="9"/>
        <v>1.5450811656561706E-2</v>
      </c>
      <c r="S112" s="4">
        <f t="shared" si="9"/>
        <v>0.20119775824976227</v>
      </c>
      <c r="T112" s="5">
        <f t="shared" si="9"/>
        <v>0.24096791815318627</v>
      </c>
      <c r="U112" s="4">
        <f t="shared" si="9"/>
        <v>0.1230871949122251</v>
      </c>
      <c r="V112" s="4">
        <f t="shared" si="9"/>
        <v>1.2018047303357905E-2</v>
      </c>
      <c r="W112" s="4">
        <f t="shared" si="7"/>
        <v>0.20119775824976227</v>
      </c>
    </row>
    <row r="113" spans="1:23" x14ac:dyDescent="0.2">
      <c r="A113" s="3" t="s">
        <v>65</v>
      </c>
      <c r="B113" s="4">
        <f t="shared" si="9"/>
        <v>1.621858060081546E-2</v>
      </c>
      <c r="C113" s="4">
        <f t="shared" si="9"/>
        <v>1.0757189945792261E-2</v>
      </c>
      <c r="D113" s="4">
        <f t="shared" si="9"/>
        <v>1.5050067954946652E-2</v>
      </c>
      <c r="E113" s="4">
        <f t="shared" si="9"/>
        <v>2.8725415150047645E-2</v>
      </c>
      <c r="F113" s="4">
        <f t="shared" si="9"/>
        <v>2.2785996594441756E-2</v>
      </c>
      <c r="G113" s="4">
        <f t="shared" si="9"/>
        <v>1.2706793932482464E-2</v>
      </c>
      <c r="H113" s="4">
        <f t="shared" si="9"/>
        <v>1.8586849546185932E-2</v>
      </c>
      <c r="I113" s="4">
        <f t="shared" si="9"/>
        <v>2.1983034696077361E-2</v>
      </c>
      <c r="J113" s="4">
        <f t="shared" si="9"/>
        <v>1.3556621311296143E-2</v>
      </c>
      <c r="K113" s="4">
        <f t="shared" si="9"/>
        <v>1.0004217893240436E-2</v>
      </c>
      <c r="L113" s="4">
        <f t="shared" si="9"/>
        <v>1.2078796494462063E-2</v>
      </c>
      <c r="M113" s="4">
        <f t="shared" si="9"/>
        <v>7.6234514864168216E-3</v>
      </c>
      <c r="N113" s="4">
        <f t="shared" si="9"/>
        <v>2.0014684517207441E-2</v>
      </c>
      <c r="O113" s="4">
        <f t="shared" si="9"/>
        <v>2.5060534578913659E-2</v>
      </c>
      <c r="P113" s="4">
        <f t="shared" si="9"/>
        <v>0.1480792963929202</v>
      </c>
      <c r="Q113" s="4">
        <f t="shared" si="9"/>
        <v>6.5717901051348948E-2</v>
      </c>
      <c r="R113" s="4">
        <f t="shared" si="9"/>
        <v>9.3074844172277502E-3</v>
      </c>
      <c r="S113" s="4">
        <f t="shared" si="9"/>
        <v>1.3041101026354023E-2</v>
      </c>
      <c r="T113" s="4">
        <f t="shared" si="9"/>
        <v>5.7022792245325166E-2</v>
      </c>
      <c r="U113" s="5">
        <f t="shared" si="9"/>
        <v>0.41925858809929234</v>
      </c>
      <c r="V113" s="4">
        <f t="shared" si="9"/>
        <v>5.2420602065205504E-2</v>
      </c>
      <c r="W113" s="4">
        <f t="shared" si="7"/>
        <v>0.1480792963929202</v>
      </c>
    </row>
    <row r="114" spans="1:23" x14ac:dyDescent="0.2">
      <c r="A114" s="3" t="s">
        <v>66</v>
      </c>
      <c r="B114" s="4">
        <f t="shared" si="9"/>
        <v>1.9678849209667976E-2</v>
      </c>
      <c r="C114" s="4">
        <f t="shared" si="9"/>
        <v>1.4276156226478213E-2</v>
      </c>
      <c r="D114" s="4">
        <f t="shared" si="9"/>
        <v>1.6860416492431213E-2</v>
      </c>
      <c r="E114" s="4">
        <f t="shared" si="9"/>
        <v>2.3266705695408549E-2</v>
      </c>
      <c r="F114" s="4">
        <f t="shared" si="9"/>
        <v>3.4481893451534663E-2</v>
      </c>
      <c r="G114" s="4">
        <f t="shared" si="9"/>
        <v>1.9879568453625492E-2</v>
      </c>
      <c r="H114" s="4">
        <f t="shared" si="9"/>
        <v>1.8198544785481309E-2</v>
      </c>
      <c r="I114" s="4">
        <f t="shared" si="9"/>
        <v>3.3068495442000502E-2</v>
      </c>
      <c r="J114" s="4">
        <f t="shared" si="9"/>
        <v>1.2728945387639039E-2</v>
      </c>
      <c r="K114" s="4">
        <f t="shared" si="9"/>
        <v>1.6149535836748347E-2</v>
      </c>
      <c r="L114" s="4">
        <f t="shared" si="9"/>
        <v>1.6216442251400853E-2</v>
      </c>
      <c r="M114" s="4">
        <f t="shared" si="9"/>
        <v>1.0889018984695157E-2</v>
      </c>
      <c r="N114" s="4">
        <f t="shared" si="9"/>
        <v>2.138496278330685E-2</v>
      </c>
      <c r="O114" s="4">
        <f t="shared" si="9"/>
        <v>1.0144685121686042E-2</v>
      </c>
      <c r="P114" s="4">
        <f t="shared" si="9"/>
        <v>4.8256251568119093E-2</v>
      </c>
      <c r="Q114" s="4">
        <f t="shared" si="9"/>
        <v>0.14469348498787321</v>
      </c>
      <c r="R114" s="4">
        <f t="shared" si="9"/>
        <v>1.3389646232332525E-2</v>
      </c>
      <c r="S114" s="4">
        <f t="shared" si="9"/>
        <v>1.2294053692397758E-2</v>
      </c>
      <c r="T114" s="4">
        <f t="shared" si="9"/>
        <v>1.4903403863845446E-2</v>
      </c>
      <c r="U114" s="4">
        <f t="shared" si="9"/>
        <v>0.1403194781299657</v>
      </c>
      <c r="V114" s="5">
        <f t="shared" si="9"/>
        <v>0.35891946140336206</v>
      </c>
      <c r="W114" s="4">
        <f t="shared" si="7"/>
        <v>0.14469348498787321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prepare-flow_matrix_Madrid</vt:lpstr>
      <vt:lpstr>flow_matrix_symmetric_Madrid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Kwak Jaeyoung (Dr)</cp:lastModifiedBy>
  <dcterms:created xsi:type="dcterms:W3CDTF">2026-01-22T10:54:19Z</dcterms:created>
  <dcterms:modified xsi:type="dcterms:W3CDTF">2026-06-08T10:54:30Z</dcterms:modified>
</cp:coreProperties>
</file>